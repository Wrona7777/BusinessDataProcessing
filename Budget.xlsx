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n-A116-11\Desktop\"/>
    </mc:Choice>
  </mc:AlternateContent>
  <xr:revisionPtr revIDLastSave="0" documentId="13_ncr:1_{D0E58EC5-EEC4-4C24-BE22-91C93F4D51B8}" xr6:coauthVersionLast="47" xr6:coauthVersionMax="47" xr10:uidLastSave="{00000000-0000-0000-0000-000000000000}"/>
  <bookViews>
    <workbookView xWindow="-120" yWindow="-120" windowWidth="29040" windowHeight="15840" activeTab="11" xr2:uid="{5210C6B0-E104-43E1-B578-E300A8C2DAD9}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</sheets>
  <definedNames>
    <definedName name="Bills_1">'1'!$K$11:$O$24</definedName>
    <definedName name="Bills_10" localSheetId="9">'10'!$K$11:$O$24</definedName>
    <definedName name="Bills_11" localSheetId="10">'11'!$K$11:$O$24</definedName>
    <definedName name="Bills_12" localSheetId="11">'12'!$K$11:$O$24</definedName>
    <definedName name="Bills_2" localSheetId="1">'2'!$K$11:$O$24</definedName>
    <definedName name="Bills_3" localSheetId="2">'3'!$K$11:$O$24</definedName>
    <definedName name="Bills_4" localSheetId="3">'4'!$K$11:$O$24</definedName>
    <definedName name="Bills_5" localSheetId="4">'5'!$K$11:$O$24</definedName>
    <definedName name="Bills_6" localSheetId="5">'6'!$K$11:$O$24</definedName>
    <definedName name="Bills_7" localSheetId="6">'7'!$K$11:$O$24</definedName>
    <definedName name="Bills_8" localSheetId="7">'8'!$K$11:$O$24</definedName>
    <definedName name="Bills_9" localSheetId="8">'9'!$K$11:$O$24</definedName>
    <definedName name="Expenses_1">'1'!$F$11:$I$24</definedName>
    <definedName name="Expenses_10" localSheetId="9">'10'!$F$11:$I$24</definedName>
    <definedName name="Expenses_11" localSheetId="10">'11'!$F$11:$I$24</definedName>
    <definedName name="Expenses_12" localSheetId="11">'12'!$F$11:$I$24</definedName>
    <definedName name="Expenses_2" localSheetId="1">'2'!$F$11:$I$24</definedName>
    <definedName name="Expenses_3" localSheetId="2">'3'!$F$11:$I$24</definedName>
    <definedName name="Expenses_4" localSheetId="3">'4'!$F$11:$I$24</definedName>
    <definedName name="Expenses_5" localSheetId="4">'5'!$F$11:$I$24</definedName>
    <definedName name="Expenses_6" localSheetId="5">'6'!$F$11:$I$24</definedName>
    <definedName name="Expenses_7" localSheetId="6">'7'!$F$11:$I$24</definedName>
    <definedName name="Expenses_8" localSheetId="7">'8'!$F$11:$I$24</definedName>
    <definedName name="Expenses_9" localSheetId="8">'9'!$F$11:$I$24</definedName>
    <definedName name="Incomes_1">'1'!$A$11:$D$24</definedName>
    <definedName name="Incomes10" localSheetId="9">'10'!$A$11:$D$24</definedName>
    <definedName name="Incomes11" localSheetId="10">'11'!$A$11:$D$24</definedName>
    <definedName name="Incomes12" localSheetId="11">'12'!$A$11:$D$24</definedName>
    <definedName name="Incomes2" localSheetId="1">'2'!$A$11:$D$24</definedName>
    <definedName name="Incomes3" localSheetId="2">'3'!$A$11:$D$24</definedName>
    <definedName name="Incomes4" localSheetId="3">'4'!$A$11:$D$24</definedName>
    <definedName name="Incomes5" localSheetId="4">'5'!$A$11:$D$24</definedName>
    <definedName name="Incomes6" localSheetId="5">'6'!$A$11:$D$24</definedName>
    <definedName name="Incomes7" localSheetId="6">'7'!$A$11:$D$24</definedName>
    <definedName name="Incomes8" localSheetId="7">'8'!$A$11:$D$24</definedName>
    <definedName name="Incomes9" localSheetId="8">'9'!$A$11:$D$24</definedName>
    <definedName name="Savings_1">'1'!$W$11:$Z$24</definedName>
    <definedName name="Savings_10" localSheetId="9">'10'!$W$11:$Z$24</definedName>
    <definedName name="Savings_11" localSheetId="10">'11'!$W$11:$Z$24</definedName>
    <definedName name="Savings_12" localSheetId="11">'12'!$W$11:$Z$24</definedName>
    <definedName name="Savings_2" localSheetId="1">'2'!$W$11:$Z$24</definedName>
    <definedName name="Savings_3" localSheetId="2">'3'!$W$11:$Z$24</definedName>
    <definedName name="Savings_4" localSheetId="3">'4'!$W$11:$Z$24</definedName>
    <definedName name="Savings_5" localSheetId="4">'5'!$W$11:$Z$24</definedName>
    <definedName name="Savings_6" localSheetId="5">'6'!$W$11:$Z$24</definedName>
    <definedName name="Savings_7" localSheetId="6">'7'!$W$11:$Z$24</definedName>
    <definedName name="Savings_8" localSheetId="7">'8'!$W$11:$Z$24</definedName>
    <definedName name="Savings_9" localSheetId="8">'9'!$W$11:$Z$24</definedName>
    <definedName name="Subscriptions_1">'1'!$Q$11:$U$24</definedName>
    <definedName name="Subscriptions_10" localSheetId="9">'10'!$Q$11:$U$24</definedName>
    <definedName name="Subscriptions_11" localSheetId="10">'11'!$Q$11:$U$24</definedName>
    <definedName name="Subscriptions_12" localSheetId="11">'12'!$Q$11:$U$24</definedName>
    <definedName name="Subscriptions_2" localSheetId="1">'2'!$Q$11:$U$24</definedName>
    <definedName name="Subscriptions_3" localSheetId="2">'3'!$Q$11:$U$24</definedName>
    <definedName name="Subscriptions_4" localSheetId="3">'4'!$Q$11:$U$24</definedName>
    <definedName name="Subscriptions_5" localSheetId="4">'5'!$Q$11:$U$24</definedName>
    <definedName name="Subscriptions_6" localSheetId="5">'6'!$Q$11:$U$24</definedName>
    <definedName name="Subscriptions_7" localSheetId="6">'7'!$Q$11:$U$24</definedName>
    <definedName name="Subscriptions_8" localSheetId="7">'8'!$Q$11:$U$24</definedName>
    <definedName name="Subscriptions_9" localSheetId="8">'9'!$Q$11:$U$24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13" l="1"/>
  <c r="X24" i="13"/>
  <c r="T24" i="13"/>
  <c r="S24" i="13"/>
  <c r="N24" i="13"/>
  <c r="M24" i="13"/>
  <c r="G24" i="13"/>
  <c r="B6" i="13" s="1"/>
  <c r="B24" i="13"/>
  <c r="B5" i="13" s="1"/>
  <c r="O18" i="13"/>
  <c r="U17" i="13"/>
  <c r="O17" i="13"/>
  <c r="U16" i="13"/>
  <c r="O16" i="13"/>
  <c r="Z15" i="13"/>
  <c r="U15" i="13"/>
  <c r="O15" i="13"/>
  <c r="Z14" i="13"/>
  <c r="U14" i="13"/>
  <c r="O14" i="13"/>
  <c r="Z13" i="13"/>
  <c r="Z24" i="13" s="1"/>
  <c r="U13" i="13"/>
  <c r="U24" i="13" s="1"/>
  <c r="O13" i="13"/>
  <c r="O24" i="13" s="1"/>
  <c r="A2" i="13" a="1"/>
  <c r="A2" i="13" s="1"/>
  <c r="Y24" i="12"/>
  <c r="X24" i="12"/>
  <c r="T24" i="12"/>
  <c r="S24" i="12"/>
  <c r="N24" i="12"/>
  <c r="M24" i="12"/>
  <c r="G24" i="12"/>
  <c r="B6" i="12" s="1"/>
  <c r="B24" i="12"/>
  <c r="B5" i="12" s="1"/>
  <c r="O18" i="12"/>
  <c r="U17" i="12"/>
  <c r="O17" i="12"/>
  <c r="U16" i="12"/>
  <c r="O16" i="12"/>
  <c r="Z15" i="12"/>
  <c r="U15" i="12"/>
  <c r="O15" i="12"/>
  <c r="Z14" i="12"/>
  <c r="U14" i="12"/>
  <c r="O14" i="12"/>
  <c r="O24" i="12" s="1"/>
  <c r="Z13" i="12"/>
  <c r="Z24" i="12" s="1"/>
  <c r="U13" i="12"/>
  <c r="U24" i="12" s="1"/>
  <c r="O13" i="12"/>
  <c r="A2" i="12" a="1"/>
  <c r="A2" i="12" s="1"/>
  <c r="Y24" i="11"/>
  <c r="X24" i="11"/>
  <c r="T24" i="11"/>
  <c r="S24" i="11"/>
  <c r="N24" i="11"/>
  <c r="M24" i="11"/>
  <c r="G24" i="11"/>
  <c r="B6" i="11" s="1"/>
  <c r="B24" i="11"/>
  <c r="B5" i="11" s="1"/>
  <c r="O18" i="11"/>
  <c r="U17" i="11"/>
  <c r="O17" i="11"/>
  <c r="U16" i="11"/>
  <c r="O16" i="11"/>
  <c r="Z15" i="11"/>
  <c r="U15" i="11"/>
  <c r="O15" i="11"/>
  <c r="Z14" i="11"/>
  <c r="U14" i="11"/>
  <c r="O14" i="11"/>
  <c r="O24" i="11" s="1"/>
  <c r="Z13" i="11"/>
  <c r="Z24" i="11" s="1"/>
  <c r="U13" i="11"/>
  <c r="U24" i="11" s="1"/>
  <c r="O13" i="11"/>
  <c r="A2" i="11" a="1"/>
  <c r="A2" i="11" s="1"/>
  <c r="Y24" i="10"/>
  <c r="X24" i="10"/>
  <c r="T24" i="10"/>
  <c r="S24" i="10"/>
  <c r="N24" i="10"/>
  <c r="M24" i="10"/>
  <c r="G24" i="10"/>
  <c r="B6" i="10" s="1"/>
  <c r="B24" i="10"/>
  <c r="B5" i="10" s="1"/>
  <c r="O18" i="10"/>
  <c r="U17" i="10"/>
  <c r="O17" i="10"/>
  <c r="U16" i="10"/>
  <c r="O16" i="10"/>
  <c r="Z15" i="10"/>
  <c r="U15" i="10"/>
  <c r="O15" i="10"/>
  <c r="Z14" i="10"/>
  <c r="U14" i="10"/>
  <c r="O14" i="10"/>
  <c r="Z13" i="10"/>
  <c r="Z24" i="10" s="1"/>
  <c r="U13" i="10"/>
  <c r="U24" i="10" s="1"/>
  <c r="O13" i="10"/>
  <c r="O24" i="10" s="1"/>
  <c r="A2" i="10" a="1"/>
  <c r="A2" i="10" s="1"/>
  <c r="Y24" i="9"/>
  <c r="X24" i="9"/>
  <c r="T24" i="9"/>
  <c r="S24" i="9"/>
  <c r="N24" i="9"/>
  <c r="M24" i="9"/>
  <c r="G24" i="9"/>
  <c r="B6" i="9" s="1"/>
  <c r="B24" i="9"/>
  <c r="B5" i="9" s="1"/>
  <c r="O18" i="9"/>
  <c r="U17" i="9"/>
  <c r="O17" i="9"/>
  <c r="U16" i="9"/>
  <c r="O16" i="9"/>
  <c r="Z15" i="9"/>
  <c r="U15" i="9"/>
  <c r="O15" i="9"/>
  <c r="Z14" i="9"/>
  <c r="U14" i="9"/>
  <c r="O14" i="9"/>
  <c r="Z13" i="9"/>
  <c r="Z24" i="9" s="1"/>
  <c r="U13" i="9"/>
  <c r="U24" i="9" s="1"/>
  <c r="O13" i="9"/>
  <c r="O24" i="9" s="1"/>
  <c r="A2" i="9" a="1"/>
  <c r="A2" i="9" s="1"/>
  <c r="Y24" i="8"/>
  <c r="X24" i="8"/>
  <c r="T24" i="8"/>
  <c r="S24" i="8"/>
  <c r="N24" i="8"/>
  <c r="M24" i="8"/>
  <c r="G24" i="8"/>
  <c r="B6" i="8" s="1"/>
  <c r="B24" i="8"/>
  <c r="B5" i="8" s="1"/>
  <c r="O18" i="8"/>
  <c r="U17" i="8"/>
  <c r="O17" i="8"/>
  <c r="U16" i="8"/>
  <c r="O16" i="8"/>
  <c r="Z15" i="8"/>
  <c r="U15" i="8"/>
  <c r="O15" i="8"/>
  <c r="Z14" i="8"/>
  <c r="U14" i="8"/>
  <c r="O14" i="8"/>
  <c r="Z13" i="8"/>
  <c r="Z24" i="8" s="1"/>
  <c r="U13" i="8"/>
  <c r="U24" i="8" s="1"/>
  <c r="O13" i="8"/>
  <c r="O24" i="8" s="1"/>
  <c r="A2" i="8" a="1"/>
  <c r="A2" i="8" s="1"/>
  <c r="Y24" i="7"/>
  <c r="X24" i="7"/>
  <c r="T24" i="7"/>
  <c r="S24" i="7"/>
  <c r="N24" i="7"/>
  <c r="M24" i="7"/>
  <c r="G24" i="7"/>
  <c r="B6" i="7" s="1"/>
  <c r="B24" i="7"/>
  <c r="B5" i="7" s="1"/>
  <c r="O18" i="7"/>
  <c r="U17" i="7"/>
  <c r="O17" i="7"/>
  <c r="U16" i="7"/>
  <c r="O16" i="7"/>
  <c r="Z15" i="7"/>
  <c r="U15" i="7"/>
  <c r="O15" i="7"/>
  <c r="Z14" i="7"/>
  <c r="U14" i="7"/>
  <c r="O14" i="7"/>
  <c r="Z13" i="7"/>
  <c r="Z24" i="7" s="1"/>
  <c r="U13" i="7"/>
  <c r="U24" i="7" s="1"/>
  <c r="O13" i="7"/>
  <c r="O24" i="7" s="1"/>
  <c r="A2" i="7" a="1"/>
  <c r="A2" i="7" s="1"/>
  <c r="Y24" i="6"/>
  <c r="X24" i="6"/>
  <c r="T24" i="6"/>
  <c r="S24" i="6"/>
  <c r="N24" i="6"/>
  <c r="M24" i="6"/>
  <c r="G24" i="6"/>
  <c r="B6" i="6" s="1"/>
  <c r="B24" i="6"/>
  <c r="B5" i="6" s="1"/>
  <c r="O18" i="6"/>
  <c r="U17" i="6"/>
  <c r="O17" i="6"/>
  <c r="U16" i="6"/>
  <c r="O16" i="6"/>
  <c r="Z15" i="6"/>
  <c r="U15" i="6"/>
  <c r="O15" i="6"/>
  <c r="Z14" i="6"/>
  <c r="U14" i="6"/>
  <c r="O14" i="6"/>
  <c r="Z13" i="6"/>
  <c r="Z24" i="6" s="1"/>
  <c r="U13" i="6"/>
  <c r="U24" i="6" s="1"/>
  <c r="O13" i="6"/>
  <c r="O24" i="6" s="1"/>
  <c r="A2" i="6" a="1"/>
  <c r="A2" i="6" s="1"/>
  <c r="Y24" i="5"/>
  <c r="X24" i="5"/>
  <c r="T24" i="5"/>
  <c r="S24" i="5"/>
  <c r="N24" i="5"/>
  <c r="M24" i="5"/>
  <c r="G24" i="5"/>
  <c r="B6" i="5" s="1"/>
  <c r="B24" i="5"/>
  <c r="B5" i="5" s="1"/>
  <c r="O18" i="5"/>
  <c r="U17" i="5"/>
  <c r="O17" i="5"/>
  <c r="U16" i="5"/>
  <c r="O16" i="5"/>
  <c r="Z15" i="5"/>
  <c r="U15" i="5"/>
  <c r="O15" i="5"/>
  <c r="Z14" i="5"/>
  <c r="U14" i="5"/>
  <c r="O14" i="5"/>
  <c r="Z13" i="5"/>
  <c r="Z24" i="5" s="1"/>
  <c r="U13" i="5"/>
  <c r="U24" i="5" s="1"/>
  <c r="O13" i="5"/>
  <c r="O24" i="5" s="1"/>
  <c r="A2" i="5" a="1"/>
  <c r="A2" i="5" s="1"/>
  <c r="Y24" i="4"/>
  <c r="X24" i="4"/>
  <c r="T24" i="4"/>
  <c r="S24" i="4"/>
  <c r="N24" i="4"/>
  <c r="M24" i="4"/>
  <c r="G24" i="4"/>
  <c r="B6" i="4" s="1"/>
  <c r="B24" i="4"/>
  <c r="B5" i="4" s="1"/>
  <c r="O18" i="4"/>
  <c r="U17" i="4"/>
  <c r="O17" i="4"/>
  <c r="U16" i="4"/>
  <c r="O16" i="4"/>
  <c r="Z15" i="4"/>
  <c r="U15" i="4"/>
  <c r="O15" i="4"/>
  <c r="Z14" i="4"/>
  <c r="U14" i="4"/>
  <c r="O14" i="4"/>
  <c r="O24" i="4" s="1"/>
  <c r="Z13" i="4"/>
  <c r="Z24" i="4" s="1"/>
  <c r="U13" i="4"/>
  <c r="U24" i="4" s="1"/>
  <c r="O13" i="4"/>
  <c r="A2" i="4" a="1"/>
  <c r="A2" i="4" s="1"/>
  <c r="Y24" i="3"/>
  <c r="X24" i="3"/>
  <c r="T24" i="3"/>
  <c r="S24" i="3"/>
  <c r="N24" i="3"/>
  <c r="M24" i="3"/>
  <c r="G24" i="3"/>
  <c r="B6" i="3" s="1"/>
  <c r="B24" i="3"/>
  <c r="B5" i="3" s="1"/>
  <c r="O18" i="3"/>
  <c r="U17" i="3"/>
  <c r="U24" i="3" s="1"/>
  <c r="O17" i="3"/>
  <c r="U16" i="3"/>
  <c r="O16" i="3"/>
  <c r="Z15" i="3"/>
  <c r="U15" i="3"/>
  <c r="O15" i="3"/>
  <c r="Z14" i="3"/>
  <c r="U14" i="3"/>
  <c r="O14" i="3"/>
  <c r="Z13" i="3"/>
  <c r="Z24" i="3" s="1"/>
  <c r="U13" i="3"/>
  <c r="O13" i="3"/>
  <c r="O24" i="3" s="1"/>
  <c r="A2" i="3" a="1"/>
  <c r="A2" i="3" s="1"/>
  <c r="B9" i="1"/>
  <c r="U16" i="1"/>
  <c r="Z14" i="1"/>
  <c r="Z15" i="1"/>
  <c r="Z13" i="1"/>
  <c r="Z24" i="1" s="1"/>
  <c r="X24" i="1"/>
  <c r="U14" i="1"/>
  <c r="U15" i="1"/>
  <c r="U17" i="1"/>
  <c r="U13" i="1"/>
  <c r="O14" i="1"/>
  <c r="O15" i="1"/>
  <c r="O16" i="1"/>
  <c r="O17" i="1"/>
  <c r="O18" i="1"/>
  <c r="O13" i="1"/>
  <c r="Y24" i="1"/>
  <c r="U24" i="1"/>
  <c r="T24" i="1"/>
  <c r="S24" i="1"/>
  <c r="N24" i="1"/>
  <c r="M24" i="1"/>
  <c r="G24" i="1"/>
  <c r="B6" i="1" s="1"/>
  <c r="B24" i="1"/>
  <c r="B5" i="1" s="1"/>
  <c r="A2" i="1" a="1"/>
  <c r="A2" i="1" s="1"/>
  <c r="B7" i="13" l="1"/>
  <c r="B9" i="13" s="1"/>
  <c r="B7" i="12"/>
  <c r="B9" i="12"/>
  <c r="B7" i="11"/>
  <c r="B9" i="11" s="1"/>
  <c r="B7" i="10"/>
  <c r="B9" i="10" s="1"/>
  <c r="B7" i="9"/>
  <c r="B9" i="9" s="1"/>
  <c r="B7" i="8"/>
  <c r="B9" i="8" s="1"/>
  <c r="B7" i="7"/>
  <c r="B9" i="7" s="1"/>
  <c r="B7" i="6"/>
  <c r="B9" i="6" s="1"/>
  <c r="B7" i="5"/>
  <c r="B9" i="5" s="1"/>
  <c r="B7" i="4"/>
  <c r="B9" i="4"/>
  <c r="B7" i="3"/>
  <c r="B9" i="3" s="1"/>
  <c r="O24" i="1"/>
  <c r="B7" i="1"/>
  <c r="C14" i="13" a="1"/>
  <c r="H21" i="13" a="1"/>
  <c r="H17" i="13" a="1"/>
  <c r="H20" i="13" a="1"/>
  <c r="H15" i="13" a="1"/>
  <c r="C17" i="13" a="1"/>
  <c r="H13" i="13" a="1"/>
  <c r="C16" i="13" a="1"/>
  <c r="H19" i="13" a="1"/>
  <c r="C15" i="13" a="1"/>
  <c r="C13" i="13" a="1"/>
  <c r="H18" i="13" a="1"/>
  <c r="H16" i="13" a="1"/>
  <c r="H14" i="13" a="1"/>
  <c r="C18" i="13" a="1"/>
  <c r="C16" i="12" a="1"/>
  <c r="C14" i="12" a="1"/>
  <c r="H21" i="12" a="1"/>
  <c r="H17" i="12" a="1"/>
  <c r="H20" i="12" a="1"/>
  <c r="H15" i="12" a="1"/>
  <c r="C17" i="12" a="1"/>
  <c r="H13" i="12" a="1"/>
  <c r="H19" i="12" a="1"/>
  <c r="C15" i="12" a="1"/>
  <c r="C13" i="12" a="1"/>
  <c r="H18" i="12" a="1"/>
  <c r="H16" i="12" a="1"/>
  <c r="H14" i="12" a="1"/>
  <c r="C18" i="12" a="1"/>
  <c r="C16" i="11" a="1"/>
  <c r="C14" i="11" a="1"/>
  <c r="H21" i="11" a="1"/>
  <c r="H17" i="11" a="1"/>
  <c r="H20" i="11" a="1"/>
  <c r="H15" i="11" a="1"/>
  <c r="C17" i="11" a="1"/>
  <c r="H13" i="11" a="1"/>
  <c r="H19" i="11" a="1"/>
  <c r="C15" i="11" a="1"/>
  <c r="C13" i="11" a="1"/>
  <c r="H18" i="11" a="1"/>
  <c r="H16" i="11" a="1"/>
  <c r="H14" i="11" a="1"/>
  <c r="C18" i="11" a="1"/>
  <c r="C16" i="10" a="1"/>
  <c r="C14" i="10" a="1"/>
  <c r="H21" i="10" a="1"/>
  <c r="H17" i="10" a="1"/>
  <c r="H20" i="10" a="1"/>
  <c r="H15" i="10" a="1"/>
  <c r="C17" i="10" a="1"/>
  <c r="H13" i="10" a="1"/>
  <c r="H19" i="10" a="1"/>
  <c r="C15" i="10" a="1"/>
  <c r="C13" i="10" a="1"/>
  <c r="H18" i="10" a="1"/>
  <c r="C18" i="10" a="1"/>
  <c r="H16" i="10" a="1"/>
  <c r="H14" i="10" a="1"/>
  <c r="C18" i="9" a="1"/>
  <c r="C14" i="9" a="1"/>
  <c r="H21" i="9" a="1"/>
  <c r="H17" i="9" a="1"/>
  <c r="H20" i="9" a="1"/>
  <c r="H15" i="9" a="1"/>
  <c r="C17" i="9" a="1"/>
  <c r="H13" i="9" a="1"/>
  <c r="H19" i="9" a="1"/>
  <c r="C15" i="9" a="1"/>
  <c r="C13" i="9" a="1"/>
  <c r="H14" i="9" a="1"/>
  <c r="C16" i="9" a="1"/>
  <c r="H18" i="9" a="1"/>
  <c r="H16" i="9" a="1"/>
  <c r="C16" i="8" a="1"/>
  <c r="C14" i="8" a="1"/>
  <c r="H21" i="8" a="1"/>
  <c r="H17" i="8" a="1"/>
  <c r="H20" i="8" a="1"/>
  <c r="H15" i="8" a="1"/>
  <c r="C17" i="8" a="1"/>
  <c r="H13" i="8" a="1"/>
  <c r="H19" i="8" a="1"/>
  <c r="C15" i="8" a="1"/>
  <c r="C13" i="8" a="1"/>
  <c r="H18" i="8" a="1"/>
  <c r="H16" i="8" a="1"/>
  <c r="H14" i="8" a="1"/>
  <c r="C18" i="8" a="1"/>
  <c r="C16" i="7" a="1"/>
  <c r="C14" i="7" a="1"/>
  <c r="H21" i="7" a="1"/>
  <c r="H17" i="7" a="1"/>
  <c r="H20" i="7" a="1"/>
  <c r="H15" i="7" a="1"/>
  <c r="C17" i="7" a="1"/>
  <c r="H13" i="7" a="1"/>
  <c r="H19" i="7" a="1"/>
  <c r="C15" i="7" a="1"/>
  <c r="C13" i="7" a="1"/>
  <c r="H18" i="7" a="1"/>
  <c r="H16" i="7" a="1"/>
  <c r="H14" i="7" a="1"/>
  <c r="C18" i="7" a="1"/>
  <c r="H14" i="6" a="1"/>
  <c r="C14" i="6" a="1"/>
  <c r="H21" i="6" a="1"/>
  <c r="H17" i="6" a="1"/>
  <c r="H20" i="6" a="1"/>
  <c r="H15" i="6" a="1"/>
  <c r="C17" i="6" a="1"/>
  <c r="H13" i="6" a="1"/>
  <c r="H19" i="6" a="1"/>
  <c r="C15" i="6" a="1"/>
  <c r="C18" i="6" a="1"/>
  <c r="C13" i="6" a="1"/>
  <c r="C16" i="6" a="1"/>
  <c r="H18" i="6" a="1"/>
  <c r="H16" i="6" a="1"/>
  <c r="C16" i="5" a="1"/>
  <c r="C14" i="5" a="1"/>
  <c r="H21" i="5" a="1"/>
  <c r="H17" i="5" a="1"/>
  <c r="H20" i="5" a="1"/>
  <c r="H15" i="5" a="1"/>
  <c r="C17" i="5" a="1"/>
  <c r="H13" i="5" a="1"/>
  <c r="H19" i="5" a="1"/>
  <c r="C15" i="5" a="1"/>
  <c r="C13" i="5" a="1"/>
  <c r="H18" i="5" a="1"/>
  <c r="H16" i="5" a="1"/>
  <c r="H14" i="5" a="1"/>
  <c r="C18" i="5" a="1"/>
  <c r="C16" i="4" a="1"/>
  <c r="C14" i="4" a="1"/>
  <c r="H21" i="4" a="1"/>
  <c r="H17" i="4" a="1"/>
  <c r="H20" i="4" a="1"/>
  <c r="H15" i="4" a="1"/>
  <c r="C17" i="4" a="1"/>
  <c r="H13" i="4" a="1"/>
  <c r="H19" i="4" a="1"/>
  <c r="C15" i="4" a="1"/>
  <c r="C13" i="4" a="1"/>
  <c r="H18" i="4" a="1"/>
  <c r="H16" i="4" a="1"/>
  <c r="H14" i="4" a="1"/>
  <c r="C18" i="4" a="1"/>
  <c r="C16" i="3" a="1"/>
  <c r="C14" i="3" a="1"/>
  <c r="H21" i="3" a="1"/>
  <c r="H17" i="3" a="1"/>
  <c r="H15" i="3" a="1"/>
  <c r="H20" i="3" a="1"/>
  <c r="C17" i="3" a="1"/>
  <c r="H13" i="3" a="1"/>
  <c r="H19" i="3" a="1"/>
  <c r="C15" i="3" a="1"/>
  <c r="C13" i="3" a="1"/>
  <c r="H18" i="3" a="1"/>
  <c r="H16" i="3" a="1"/>
  <c r="H14" i="3" a="1"/>
  <c r="C18" i="3" a="1"/>
  <c r="H21" i="1" a="1"/>
  <c r="H20" i="1" a="1"/>
  <c r="H19" i="1" a="1"/>
  <c r="H18" i="1" a="1"/>
  <c r="H17" i="1" a="1"/>
  <c r="H14" i="1" a="1"/>
  <c r="H16" i="1" a="1"/>
  <c r="H15" i="1" a="1"/>
  <c r="H13" i="1" a="1"/>
  <c r="C18" i="1" a="1"/>
  <c r="C17" i="1" a="1"/>
  <c r="C16" i="1" a="1"/>
  <c r="C15" i="1" a="1"/>
  <c r="C14" i="1" a="1"/>
  <c r="C13" i="1" a="1"/>
  <c r="C18" i="13" l="1"/>
  <c r="D18" i="13" s="1"/>
  <c r="H14" i="13"/>
  <c r="I14" i="13" s="1"/>
  <c r="H16" i="13"/>
  <c r="I16" i="13" s="1"/>
  <c r="H18" i="13"/>
  <c r="I18" i="13" s="1"/>
  <c r="C13" i="13"/>
  <c r="C15" i="13"/>
  <c r="D15" i="13" s="1"/>
  <c r="H19" i="13"/>
  <c r="I19" i="13" s="1"/>
  <c r="C16" i="13"/>
  <c r="D16" i="13" s="1"/>
  <c r="H13" i="13"/>
  <c r="C17" i="13"/>
  <c r="D17" i="13" s="1"/>
  <c r="H15" i="13"/>
  <c r="I15" i="13" s="1"/>
  <c r="H20" i="13"/>
  <c r="I20" i="13" s="1"/>
  <c r="H17" i="13"/>
  <c r="I17" i="13" s="1"/>
  <c r="H21" i="13"/>
  <c r="I21" i="13" s="1"/>
  <c r="C14" i="13"/>
  <c r="D14" i="13" s="1"/>
  <c r="C18" i="12"/>
  <c r="D18" i="12" s="1"/>
  <c r="H14" i="12"/>
  <c r="I14" i="12" s="1"/>
  <c r="H16" i="12"/>
  <c r="I16" i="12" s="1"/>
  <c r="H18" i="12"/>
  <c r="I18" i="12" s="1"/>
  <c r="C13" i="12"/>
  <c r="C15" i="12"/>
  <c r="D15" i="12" s="1"/>
  <c r="H19" i="12"/>
  <c r="I19" i="12" s="1"/>
  <c r="H13" i="12"/>
  <c r="C17" i="12"/>
  <c r="D17" i="12" s="1"/>
  <c r="H15" i="12"/>
  <c r="I15" i="12" s="1"/>
  <c r="H20" i="12"/>
  <c r="I20" i="12" s="1"/>
  <c r="H17" i="12"/>
  <c r="I17" i="12" s="1"/>
  <c r="H21" i="12"/>
  <c r="I21" i="12" s="1"/>
  <c r="C14" i="12"/>
  <c r="D14" i="12" s="1"/>
  <c r="C16" i="12"/>
  <c r="D16" i="12" s="1"/>
  <c r="C18" i="11"/>
  <c r="D18" i="11" s="1"/>
  <c r="H14" i="11"/>
  <c r="I14" i="11" s="1"/>
  <c r="H16" i="11"/>
  <c r="I16" i="11" s="1"/>
  <c r="H18" i="11"/>
  <c r="I18" i="11" s="1"/>
  <c r="C13" i="11"/>
  <c r="C15" i="11"/>
  <c r="D15" i="11" s="1"/>
  <c r="H19" i="11"/>
  <c r="I19" i="11" s="1"/>
  <c r="H13" i="11"/>
  <c r="C17" i="11"/>
  <c r="D17" i="11" s="1"/>
  <c r="H15" i="11"/>
  <c r="I15" i="11" s="1"/>
  <c r="H20" i="11"/>
  <c r="I20" i="11" s="1"/>
  <c r="H17" i="11"/>
  <c r="I17" i="11" s="1"/>
  <c r="H21" i="11"/>
  <c r="I21" i="11" s="1"/>
  <c r="C14" i="11"/>
  <c r="D14" i="11" s="1"/>
  <c r="C16" i="11"/>
  <c r="D16" i="11" s="1"/>
  <c r="H14" i="10"/>
  <c r="I14" i="10" s="1"/>
  <c r="H16" i="10"/>
  <c r="I16" i="10" s="1"/>
  <c r="C18" i="10"/>
  <c r="D18" i="10" s="1"/>
  <c r="H18" i="10"/>
  <c r="I18" i="10" s="1"/>
  <c r="C13" i="10"/>
  <c r="C15" i="10"/>
  <c r="D15" i="10" s="1"/>
  <c r="H19" i="10"/>
  <c r="I19" i="10" s="1"/>
  <c r="H13" i="10"/>
  <c r="C17" i="10"/>
  <c r="D17" i="10" s="1"/>
  <c r="H15" i="10"/>
  <c r="I15" i="10" s="1"/>
  <c r="H20" i="10"/>
  <c r="I20" i="10" s="1"/>
  <c r="H17" i="10"/>
  <c r="I17" i="10" s="1"/>
  <c r="H21" i="10"/>
  <c r="I21" i="10" s="1"/>
  <c r="C14" i="10"/>
  <c r="D14" i="10" s="1"/>
  <c r="C16" i="10"/>
  <c r="D16" i="10" s="1"/>
  <c r="H16" i="9"/>
  <c r="I16" i="9" s="1"/>
  <c r="H18" i="9"/>
  <c r="I18" i="9" s="1"/>
  <c r="C16" i="9"/>
  <c r="D16" i="9" s="1"/>
  <c r="H14" i="9"/>
  <c r="I14" i="9" s="1"/>
  <c r="C13" i="9"/>
  <c r="C15" i="9"/>
  <c r="D15" i="9" s="1"/>
  <c r="H19" i="9"/>
  <c r="I19" i="9" s="1"/>
  <c r="H13" i="9"/>
  <c r="C17" i="9"/>
  <c r="D17" i="9" s="1"/>
  <c r="H15" i="9"/>
  <c r="I15" i="9" s="1"/>
  <c r="H20" i="9"/>
  <c r="I20" i="9" s="1"/>
  <c r="H17" i="9"/>
  <c r="I17" i="9" s="1"/>
  <c r="H21" i="9"/>
  <c r="I21" i="9" s="1"/>
  <c r="C14" i="9"/>
  <c r="D14" i="9" s="1"/>
  <c r="C18" i="9"/>
  <c r="D18" i="9" s="1"/>
  <c r="C18" i="8"/>
  <c r="D18" i="8" s="1"/>
  <c r="H14" i="8"/>
  <c r="I14" i="8" s="1"/>
  <c r="H16" i="8"/>
  <c r="I16" i="8" s="1"/>
  <c r="H18" i="8"/>
  <c r="I18" i="8" s="1"/>
  <c r="C13" i="8"/>
  <c r="C15" i="8"/>
  <c r="D15" i="8" s="1"/>
  <c r="H19" i="8"/>
  <c r="I19" i="8" s="1"/>
  <c r="H13" i="8"/>
  <c r="C17" i="8"/>
  <c r="D17" i="8" s="1"/>
  <c r="H15" i="8"/>
  <c r="I15" i="8" s="1"/>
  <c r="H20" i="8"/>
  <c r="I20" i="8" s="1"/>
  <c r="H17" i="8"/>
  <c r="I17" i="8" s="1"/>
  <c r="H21" i="8"/>
  <c r="I21" i="8" s="1"/>
  <c r="C14" i="8"/>
  <c r="D14" i="8" s="1"/>
  <c r="C16" i="8"/>
  <c r="D16" i="8" s="1"/>
  <c r="C18" i="7"/>
  <c r="D18" i="7" s="1"/>
  <c r="H14" i="7"/>
  <c r="I14" i="7" s="1"/>
  <c r="H16" i="7"/>
  <c r="I16" i="7" s="1"/>
  <c r="H18" i="7"/>
  <c r="I18" i="7" s="1"/>
  <c r="C13" i="7"/>
  <c r="C15" i="7"/>
  <c r="D15" i="7" s="1"/>
  <c r="H19" i="7"/>
  <c r="I19" i="7" s="1"/>
  <c r="H13" i="7"/>
  <c r="C17" i="7"/>
  <c r="D17" i="7" s="1"/>
  <c r="H15" i="7"/>
  <c r="I15" i="7" s="1"/>
  <c r="H20" i="7"/>
  <c r="I20" i="7" s="1"/>
  <c r="H17" i="7"/>
  <c r="I17" i="7" s="1"/>
  <c r="H21" i="7"/>
  <c r="I21" i="7" s="1"/>
  <c r="C14" i="7"/>
  <c r="D14" i="7" s="1"/>
  <c r="C16" i="7"/>
  <c r="D16" i="7" s="1"/>
  <c r="H16" i="6"/>
  <c r="I16" i="6" s="1"/>
  <c r="H18" i="6"/>
  <c r="I18" i="6" s="1"/>
  <c r="C16" i="6"/>
  <c r="D16" i="6" s="1"/>
  <c r="C13" i="6"/>
  <c r="C18" i="6"/>
  <c r="D18" i="6" s="1"/>
  <c r="C15" i="6"/>
  <c r="D15" i="6" s="1"/>
  <c r="H19" i="6"/>
  <c r="I19" i="6" s="1"/>
  <c r="H13" i="6"/>
  <c r="C17" i="6"/>
  <c r="D17" i="6" s="1"/>
  <c r="H15" i="6"/>
  <c r="I15" i="6" s="1"/>
  <c r="H20" i="6"/>
  <c r="I20" i="6" s="1"/>
  <c r="H17" i="6"/>
  <c r="I17" i="6" s="1"/>
  <c r="H21" i="6"/>
  <c r="I21" i="6" s="1"/>
  <c r="C14" i="6"/>
  <c r="D14" i="6" s="1"/>
  <c r="H14" i="6"/>
  <c r="I14" i="6" s="1"/>
  <c r="C18" i="5"/>
  <c r="D18" i="5" s="1"/>
  <c r="H14" i="5"/>
  <c r="I14" i="5" s="1"/>
  <c r="H16" i="5"/>
  <c r="I16" i="5" s="1"/>
  <c r="H18" i="5"/>
  <c r="I18" i="5" s="1"/>
  <c r="C13" i="5"/>
  <c r="C15" i="5"/>
  <c r="D15" i="5" s="1"/>
  <c r="H19" i="5"/>
  <c r="I19" i="5" s="1"/>
  <c r="H13" i="5"/>
  <c r="C17" i="5"/>
  <c r="D17" i="5" s="1"/>
  <c r="H15" i="5"/>
  <c r="I15" i="5" s="1"/>
  <c r="H20" i="5"/>
  <c r="I20" i="5" s="1"/>
  <c r="H17" i="5"/>
  <c r="I17" i="5" s="1"/>
  <c r="H21" i="5"/>
  <c r="I21" i="5" s="1"/>
  <c r="C14" i="5"/>
  <c r="D14" i="5" s="1"/>
  <c r="C16" i="5"/>
  <c r="D16" i="5" s="1"/>
  <c r="C18" i="4"/>
  <c r="D18" i="4" s="1"/>
  <c r="H14" i="4"/>
  <c r="I14" i="4" s="1"/>
  <c r="H16" i="4"/>
  <c r="I16" i="4" s="1"/>
  <c r="H18" i="4"/>
  <c r="I18" i="4" s="1"/>
  <c r="C13" i="4"/>
  <c r="C15" i="4"/>
  <c r="D15" i="4" s="1"/>
  <c r="H19" i="4"/>
  <c r="I19" i="4" s="1"/>
  <c r="H13" i="4"/>
  <c r="C17" i="4"/>
  <c r="D17" i="4" s="1"/>
  <c r="H15" i="4"/>
  <c r="I15" i="4" s="1"/>
  <c r="H20" i="4"/>
  <c r="I20" i="4" s="1"/>
  <c r="H17" i="4"/>
  <c r="I17" i="4" s="1"/>
  <c r="H21" i="4"/>
  <c r="I21" i="4" s="1"/>
  <c r="C14" i="4"/>
  <c r="D14" i="4" s="1"/>
  <c r="C16" i="4"/>
  <c r="D16" i="4" s="1"/>
  <c r="C18" i="3"/>
  <c r="D18" i="3" s="1"/>
  <c r="H14" i="3"/>
  <c r="I14" i="3" s="1"/>
  <c r="H16" i="3"/>
  <c r="I16" i="3" s="1"/>
  <c r="H18" i="3"/>
  <c r="I18" i="3" s="1"/>
  <c r="C13" i="3"/>
  <c r="C15" i="3"/>
  <c r="D15" i="3" s="1"/>
  <c r="H19" i="3"/>
  <c r="I19" i="3" s="1"/>
  <c r="H13" i="3"/>
  <c r="C17" i="3"/>
  <c r="D17" i="3" s="1"/>
  <c r="H20" i="3"/>
  <c r="I20" i="3" s="1"/>
  <c r="H15" i="3"/>
  <c r="I15" i="3" s="1"/>
  <c r="H17" i="3"/>
  <c r="I17" i="3" s="1"/>
  <c r="H21" i="3"/>
  <c r="I21" i="3" s="1"/>
  <c r="C14" i="3"/>
  <c r="D14" i="3" s="1"/>
  <c r="C16" i="3"/>
  <c r="D16" i="3" s="1"/>
  <c r="H21" i="1"/>
  <c r="I21" i="1" s="1"/>
  <c r="H15" i="1"/>
  <c r="I15" i="1" s="1"/>
  <c r="H16" i="1"/>
  <c r="I16" i="1" s="1"/>
  <c r="H14" i="1"/>
  <c r="I14" i="1" s="1"/>
  <c r="H17" i="1"/>
  <c r="I17" i="1" s="1"/>
  <c r="H18" i="1"/>
  <c r="I18" i="1" s="1"/>
  <c r="H19" i="1"/>
  <c r="I19" i="1" s="1"/>
  <c r="H20" i="1"/>
  <c r="I20" i="1" s="1"/>
  <c r="H13" i="1"/>
  <c r="C14" i="1"/>
  <c r="D14" i="1" s="1"/>
  <c r="C15" i="1"/>
  <c r="D15" i="1" s="1"/>
  <c r="C16" i="1"/>
  <c r="D16" i="1" s="1"/>
  <c r="C17" i="1"/>
  <c r="D17" i="1" s="1"/>
  <c r="C18" i="1"/>
  <c r="D18" i="1" s="1"/>
  <c r="C13" i="1"/>
  <c r="I13" i="13" l="1"/>
  <c r="I24" i="13" s="1"/>
  <c r="D6" i="13" s="1"/>
  <c r="H24" i="13"/>
  <c r="C6" i="13" s="1"/>
  <c r="D13" i="13"/>
  <c r="D24" i="13" s="1"/>
  <c r="D5" i="13" s="1"/>
  <c r="C24" i="13"/>
  <c r="C5" i="13" s="1"/>
  <c r="I13" i="12"/>
  <c r="I24" i="12" s="1"/>
  <c r="D6" i="12" s="1"/>
  <c r="H24" i="12"/>
  <c r="C6" i="12" s="1"/>
  <c r="D13" i="12"/>
  <c r="D24" i="12" s="1"/>
  <c r="D5" i="12" s="1"/>
  <c r="C24" i="12"/>
  <c r="C5" i="12" s="1"/>
  <c r="I13" i="11"/>
  <c r="I24" i="11" s="1"/>
  <c r="D6" i="11" s="1"/>
  <c r="H24" i="11"/>
  <c r="C6" i="11" s="1"/>
  <c r="D13" i="11"/>
  <c r="D24" i="11" s="1"/>
  <c r="D5" i="11" s="1"/>
  <c r="C24" i="11"/>
  <c r="C5" i="11" s="1"/>
  <c r="I13" i="10"/>
  <c r="I24" i="10" s="1"/>
  <c r="D6" i="10" s="1"/>
  <c r="H24" i="10"/>
  <c r="C6" i="10" s="1"/>
  <c r="D13" i="10"/>
  <c r="D24" i="10" s="1"/>
  <c r="D5" i="10" s="1"/>
  <c r="C24" i="10"/>
  <c r="C5" i="10" s="1"/>
  <c r="I13" i="9"/>
  <c r="I24" i="9" s="1"/>
  <c r="D6" i="9" s="1"/>
  <c r="H24" i="9"/>
  <c r="C6" i="9" s="1"/>
  <c r="D13" i="9"/>
  <c r="D24" i="9" s="1"/>
  <c r="D5" i="9" s="1"/>
  <c r="C24" i="9"/>
  <c r="C5" i="9" s="1"/>
  <c r="I13" i="8"/>
  <c r="I24" i="8" s="1"/>
  <c r="D6" i="8" s="1"/>
  <c r="H24" i="8"/>
  <c r="C6" i="8" s="1"/>
  <c r="D13" i="8"/>
  <c r="D24" i="8" s="1"/>
  <c r="D5" i="8" s="1"/>
  <c r="C24" i="8"/>
  <c r="C5" i="8" s="1"/>
  <c r="I13" i="7"/>
  <c r="I24" i="7" s="1"/>
  <c r="D6" i="7" s="1"/>
  <c r="H24" i="7"/>
  <c r="C6" i="7" s="1"/>
  <c r="D13" i="7"/>
  <c r="D24" i="7" s="1"/>
  <c r="D5" i="7" s="1"/>
  <c r="C24" i="7"/>
  <c r="C5" i="7" s="1"/>
  <c r="I13" i="6"/>
  <c r="I24" i="6" s="1"/>
  <c r="D6" i="6" s="1"/>
  <c r="H24" i="6"/>
  <c r="C6" i="6" s="1"/>
  <c r="D13" i="6"/>
  <c r="D24" i="6" s="1"/>
  <c r="D5" i="6" s="1"/>
  <c r="C24" i="6"/>
  <c r="C5" i="6" s="1"/>
  <c r="I13" i="5"/>
  <c r="I24" i="5" s="1"/>
  <c r="D6" i="5" s="1"/>
  <c r="H24" i="5"/>
  <c r="C6" i="5" s="1"/>
  <c r="D13" i="5"/>
  <c r="D24" i="5" s="1"/>
  <c r="D5" i="5" s="1"/>
  <c r="C24" i="5"/>
  <c r="C5" i="5" s="1"/>
  <c r="I13" i="4"/>
  <c r="I24" i="4" s="1"/>
  <c r="D6" i="4" s="1"/>
  <c r="H24" i="4"/>
  <c r="C6" i="4" s="1"/>
  <c r="D13" i="4"/>
  <c r="D24" i="4" s="1"/>
  <c r="D5" i="4" s="1"/>
  <c r="C24" i="4"/>
  <c r="C5" i="4" s="1"/>
  <c r="I13" i="3"/>
  <c r="I24" i="3" s="1"/>
  <c r="D6" i="3" s="1"/>
  <c r="H24" i="3"/>
  <c r="C6" i="3" s="1"/>
  <c r="D13" i="3"/>
  <c r="D24" i="3" s="1"/>
  <c r="D5" i="3" s="1"/>
  <c r="C24" i="3"/>
  <c r="C5" i="3" s="1"/>
  <c r="C24" i="1"/>
  <c r="C5" i="1" s="1"/>
  <c r="D13" i="1"/>
  <c r="D24" i="1" s="1"/>
  <c r="D5" i="1" s="1"/>
  <c r="H24" i="1"/>
  <c r="C6" i="1" s="1"/>
  <c r="I13" i="1"/>
  <c r="I24" i="1" s="1"/>
  <c r="D6" i="1" s="1"/>
  <c r="C7" i="13" l="1"/>
  <c r="C9" i="13"/>
  <c r="D7" i="13"/>
  <c r="D9" i="13" s="1"/>
  <c r="C7" i="12"/>
  <c r="C9" i="12" s="1"/>
  <c r="D7" i="12"/>
  <c r="D9" i="12" s="1"/>
  <c r="C7" i="11"/>
  <c r="C9" i="11" s="1"/>
  <c r="D7" i="11"/>
  <c r="D9" i="11" s="1"/>
  <c r="C7" i="10"/>
  <c r="C9" i="10" s="1"/>
  <c r="D7" i="10"/>
  <c r="D9" i="10" s="1"/>
  <c r="C7" i="9"/>
  <c r="C9" i="9" s="1"/>
  <c r="D7" i="9"/>
  <c r="D9" i="9" s="1"/>
  <c r="C7" i="8"/>
  <c r="C9" i="8" s="1"/>
  <c r="D7" i="8"/>
  <c r="D9" i="8" s="1"/>
  <c r="C7" i="7"/>
  <c r="C9" i="7" s="1"/>
  <c r="D7" i="7"/>
  <c r="D9" i="7" s="1"/>
  <c r="C7" i="6"/>
  <c r="C9" i="6" s="1"/>
  <c r="D7" i="6"/>
  <c r="D9" i="6" s="1"/>
  <c r="C7" i="5"/>
  <c r="C9" i="5" s="1"/>
  <c r="D7" i="5"/>
  <c r="D9" i="5" s="1"/>
  <c r="C7" i="4"/>
  <c r="C9" i="4" s="1"/>
  <c r="D7" i="4"/>
  <c r="D9" i="4" s="1"/>
  <c r="C7" i="3"/>
  <c r="C9" i="3" s="1"/>
  <c r="D7" i="3"/>
  <c r="D9" i="3" s="1"/>
  <c r="D7" i="1"/>
  <c r="D9" i="1" s="1"/>
  <c r="C7" i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<sst xmlns="http://schemas.openxmlformats.org/spreadsheetml/2006/main" count="828" uniqueCount="46">
  <si>
    <t>Month</t>
  </si>
  <si>
    <t>Planned</t>
  </si>
  <si>
    <t>Actual</t>
  </si>
  <si>
    <t>Last</t>
  </si>
  <si>
    <t>Incomes</t>
  </si>
  <si>
    <t>Expenses</t>
  </si>
  <si>
    <t>Savings</t>
  </si>
  <si>
    <t>Balance</t>
  </si>
  <si>
    <t>Total</t>
  </si>
  <si>
    <t>Bills</t>
  </si>
  <si>
    <t>Subscriptions</t>
  </si>
  <si>
    <t>Source</t>
  </si>
  <si>
    <t>Category</t>
  </si>
  <si>
    <t>Bill</t>
  </si>
  <si>
    <t>Service</t>
  </si>
  <si>
    <t>Aim</t>
  </si>
  <si>
    <t>Due</t>
  </si>
  <si>
    <t>Accomodation</t>
  </si>
  <si>
    <t>Clothing</t>
  </si>
  <si>
    <t>Entertainment</t>
  </si>
  <si>
    <t>Groceries</t>
  </si>
  <si>
    <t>Health&amp;Beauty</t>
  </si>
  <si>
    <t>Multimedia</t>
  </si>
  <si>
    <t>Other expences</t>
  </si>
  <si>
    <t>Studies</t>
  </si>
  <si>
    <t>Transportation</t>
  </si>
  <si>
    <t>Allowance</t>
  </si>
  <si>
    <t>Financial</t>
  </si>
  <si>
    <t>Gift</t>
  </si>
  <si>
    <t>Other incoms</t>
  </si>
  <si>
    <t>Salary</t>
  </si>
  <si>
    <t>Scholarship</t>
  </si>
  <si>
    <t>Rent</t>
  </si>
  <si>
    <t>Electricity</t>
  </si>
  <si>
    <t>Water</t>
  </si>
  <si>
    <t>Gas</t>
  </si>
  <si>
    <t>Waste</t>
  </si>
  <si>
    <t>Internet</t>
  </si>
  <si>
    <t>Spotify</t>
  </si>
  <si>
    <t>Netflix</t>
  </si>
  <si>
    <t>Bookbeat</t>
  </si>
  <si>
    <t>ChatGPT</t>
  </si>
  <si>
    <t>Duolingo</t>
  </si>
  <si>
    <t>New Laptop</t>
  </si>
  <si>
    <t>Summer Holidays</t>
  </si>
  <si>
    <t>Rainy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</si>
</sst>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2" applyNumberFormat="0" applyAlignment="0" applyProtection="0"/>
  </cellStyleXfs>
  <cellXfs count="9">
    <xf numFmtId="0" fontId="0" fillId="0" borderId="0" xfId="0"/>
    <xf numFmtId="0" fontId="3" fillId="4" borderId="2" xfId="3"/>
    <xf numFmtId="0" fontId="3" fillId="4" borderId="2" xfId="3" applyAlignment="1">
      <alignment horizontal="center"/>
    </xf>
    <xf numFmtId="164" fontId="3" fillId="4" borderId="2" xfId="3" applyNumberFormat="1"/>
    <xf numFmtId="0" fontId="2" fillId="3" borderId="3" xfId="2" applyBorder="1"/>
    <xf numFmtId="0" fontId="1" fillId="2" borderId="1" xfId="1" applyBorder="1"/>
    <xf numFmtId="0" fontId="2" fillId="3" borderId="0" xfId="2" applyAlignment="1">
      <alignment horizontal="center"/>
    </xf>
    <xf numFmtId="164" fontId="2" fillId="3" borderId="3" xfId="2" applyNumberFormat="1" applyBorder="1"/>
    <xf numFmtId="164" fontId="1" fillId="2" borderId="1" xfId="1" applyNumberFormat="1" applyBorder="1"/>
  </cellXfs>
  <cellStyles count="4"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8DF9-FDB7-4F8C-B7A4-677A45770DE2}">
  <sheetPr codeName="Sheet1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1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5655.5</v>
      </c>
      <c r="D5" s="7">
        <f t="shared" ca="1" si="0"/>
        <v>44.5</v>
      </c>
    </row>
    <row r="6" spans="1:26" x14ac:dyDescent="0.25">
      <c r="A6" s="4" t="s">
        <v>5</v>
      </c>
      <c r="B6" s="7">
        <f>G24</f>
        <v>3795</v>
      </c>
      <c r="C6" s="7">
        <f ca="1">H24</f>
        <v>4810</v>
      </c>
      <c r="D6" s="7">
        <f ca="1">I24</f>
        <v>-1015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845.5</v>
      </c>
      <c r="D7" s="7">
        <f t="shared" ca="1" si="1"/>
        <v>1059.5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250</v>
      </c>
      <c r="D13" s="3">
        <f ca="1">B13-C13</f>
        <v>2250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105.5</v>
      </c>
      <c r="D14" s="3">
        <f t="shared" ref="D14:D18" ca="1" si="3">B14-C14</f>
        <v>194.5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80</v>
      </c>
      <c r="I14" s="3">
        <f t="shared" ref="I14:I21" ca="1" si="4">G14-H14</f>
        <v>220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7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0</v>
      </c>
      <c r="D15" s="3">
        <f t="shared" ca="1" si="3"/>
        <v>500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85</v>
      </c>
      <c r="I15" s="3">
        <f t="shared" ca="1" si="4"/>
        <v>115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800</v>
      </c>
      <c r="D16" s="3">
        <f t="shared" ca="1" si="3"/>
        <v>-700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1715</v>
      </c>
      <c r="I16" s="3">
        <f t="shared" ca="1" si="4"/>
        <v>-965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100</v>
      </c>
      <c r="I17" s="3">
        <f t="shared" ca="1" si="4"/>
        <v>30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si="6"/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150</v>
      </c>
      <c r="I18" s="3">
        <f t="shared" ca="1" si="4"/>
        <v>-20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500</v>
      </c>
      <c r="I19" s="3">
        <f t="shared" ca="1" si="4"/>
        <v>-300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100</v>
      </c>
      <c r="I20" s="3">
        <f t="shared" ca="1" si="4"/>
        <v>100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80</v>
      </c>
      <c r="I21" s="3">
        <f t="shared" ca="1" si="4"/>
        <v>70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5655.5</v>
      </c>
      <c r="D24" s="3">
        <f ca="1">SUM(D13:D23)</f>
        <v>44.5</v>
      </c>
      <c r="F24" s="1" t="s">
        <v>8</v>
      </c>
      <c r="G24" s="3">
        <f>SUM(G13:G23)</f>
        <v>3795</v>
      </c>
      <c r="H24" s="3">
        <f ca="1">SUM(H13:H23)</f>
        <v>4810</v>
      </c>
      <c r="I24" s="3">
        <f ca="1">SUM(I13:I23)</f>
        <v>-1015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K11:O11"/>
    <mergeCell ref="Q11:U11"/>
    <mergeCell ref="W11:Z11"/>
    <mergeCell ref="A1:D1"/>
    <mergeCell ref="A2:D2"/>
    <mergeCell ref="A11:D11"/>
    <mergeCell ref="F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E91E-A015-42D4-9EC7-43A8BA341976}">
  <sheetPr codeName="Sheet2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2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6565</v>
      </c>
      <c r="D5" s="7">
        <f t="shared" ca="1" si="0"/>
        <v>-865</v>
      </c>
    </row>
    <row r="6" spans="1:26" x14ac:dyDescent="0.25">
      <c r="A6" s="4" t="s">
        <v>5</v>
      </c>
      <c r="B6" s="7">
        <f>G24</f>
        <v>3795</v>
      </c>
      <c r="C6" s="7">
        <f ca="1">H24</f>
        <v>4100.5</v>
      </c>
      <c r="D6" s="7">
        <f ca="1">I24</f>
        <v>-305.5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2464.5</v>
      </c>
      <c r="D7" s="7">
        <f t="shared" ca="1" si="1"/>
        <v>-559.5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115</v>
      </c>
      <c r="D14" s="3">
        <f t="shared" ref="D14:D18" ca="1" si="3">B14-C14</f>
        <v>185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0</v>
      </c>
      <c r="I14" s="3">
        <f t="shared" ref="I14:I21" ca="1" si="4">G14-H14</f>
        <v>300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0</v>
      </c>
      <c r="D15" s="3">
        <f t="shared" ca="1" si="3"/>
        <v>500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350</v>
      </c>
      <c r="I15" s="3">
        <f t="shared" ca="1" si="4"/>
        <v>-150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1950</v>
      </c>
      <c r="D16" s="3">
        <f t="shared" ca="1" si="3"/>
        <v>-1850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405.5</v>
      </c>
      <c r="I16" s="3">
        <f t="shared" ca="1" si="4"/>
        <v>344.5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250</v>
      </c>
      <c r="I17" s="3">
        <f t="shared" ca="1" si="4"/>
        <v>-120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150</v>
      </c>
      <c r="I18" s="3">
        <f t="shared" ca="1" si="4"/>
        <v>-20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765</v>
      </c>
      <c r="I19" s="3">
        <f t="shared" ca="1" si="4"/>
        <v>-565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100</v>
      </c>
      <c r="I20" s="3">
        <f t="shared" ca="1" si="4"/>
        <v>100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80</v>
      </c>
      <c r="I21" s="3">
        <f t="shared" ca="1" si="4"/>
        <v>70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6565</v>
      </c>
      <c r="D24" s="3">
        <f ca="1">SUM(D13:D23)</f>
        <v>-865</v>
      </c>
      <c r="F24" s="1" t="s">
        <v>8</v>
      </c>
      <c r="G24" s="3">
        <f>SUM(G13:G23)</f>
        <v>3795</v>
      </c>
      <c r="H24" s="3">
        <f ca="1">SUM(H13:H23)</f>
        <v>4100.5</v>
      </c>
      <c r="I24" s="3">
        <f ca="1">SUM(I13:I23)</f>
        <v>-305.5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BBBE-74CC-40AD-9AF9-9B1A31237035}">
  <sheetPr codeName="Sheet3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3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4655</v>
      </c>
      <c r="D5" s="7">
        <f t="shared" ca="1" si="0"/>
        <v>1045</v>
      </c>
    </row>
    <row r="6" spans="1:26" x14ac:dyDescent="0.25">
      <c r="A6" s="4" t="s">
        <v>5</v>
      </c>
      <c r="B6" s="7">
        <f>G24</f>
        <v>3795</v>
      </c>
      <c r="C6" s="7">
        <f ca="1">H24</f>
        <v>3899.3900000000003</v>
      </c>
      <c r="D6" s="7">
        <f ca="1">I24</f>
        <v>-104.38999999999999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755.60999999999967</v>
      </c>
      <c r="D7" s="7">
        <f t="shared" ca="1" si="1"/>
        <v>1149.3899999999999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150</v>
      </c>
      <c r="D14" s="3">
        <f t="shared" ref="D14:D18" ca="1" si="3">B14-C14</f>
        <v>150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469.9</v>
      </c>
      <c r="I14" s="3">
        <f t="shared" ref="I14:I21" ca="1" si="4">G14-H14</f>
        <v>-169.89999999999998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5</v>
      </c>
      <c r="D15" s="3">
        <f t="shared" ca="1" si="3"/>
        <v>495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200</v>
      </c>
      <c r="I15" s="3">
        <f t="shared" ca="1" si="4"/>
        <v>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734.99</v>
      </c>
      <c r="I16" s="3">
        <f t="shared" ca="1" si="4"/>
        <v>15.009999999999991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9.5</v>
      </c>
      <c r="I17" s="3">
        <f t="shared" ca="1" si="4"/>
        <v>120.5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23</v>
      </c>
      <c r="I18" s="3">
        <f t="shared" ca="1" si="4"/>
        <v>107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300</v>
      </c>
      <c r="I19" s="3">
        <f t="shared" ca="1" si="4"/>
        <v>-100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79.5</v>
      </c>
      <c r="I20" s="3">
        <f t="shared" ca="1" si="4"/>
        <v>120.5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82.5</v>
      </c>
      <c r="I21" s="3">
        <f t="shared" ca="1" si="4"/>
        <v>67.5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4655</v>
      </c>
      <c r="D24" s="3">
        <f ca="1">SUM(D13:D23)</f>
        <v>1045</v>
      </c>
      <c r="F24" s="1" t="s">
        <v>8</v>
      </c>
      <c r="G24" s="3">
        <f>SUM(G13:G23)</f>
        <v>3795</v>
      </c>
      <c r="H24" s="3">
        <f ca="1">SUM(H13:H23)</f>
        <v>3899.3900000000003</v>
      </c>
      <c r="I24" s="3">
        <f ca="1">SUM(I13:I23)</f>
        <v>-104.38999999999999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A305-0EF6-4F8E-905F-726BFF13B6D1}">
  <sheetPr codeName="Sheet4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4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4700</v>
      </c>
      <c r="D5" s="7">
        <f t="shared" ca="1" si="0"/>
        <v>1000</v>
      </c>
    </row>
    <row r="6" spans="1:26" x14ac:dyDescent="0.25">
      <c r="A6" s="4" t="s">
        <v>5</v>
      </c>
      <c r="B6" s="7">
        <f>G24</f>
        <v>3795</v>
      </c>
      <c r="C6" s="7">
        <f ca="1">H24</f>
        <v>3973.16</v>
      </c>
      <c r="D6" s="7">
        <f ca="1">I24</f>
        <v>-178.16000000000008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726.84000000000015</v>
      </c>
      <c r="D7" s="7">
        <f t="shared" ca="1" si="1"/>
        <v>1178.1600000000001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150</v>
      </c>
      <c r="D14" s="3">
        <f t="shared" ref="D14:D18" ca="1" si="3">B14-C14</f>
        <v>150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149</v>
      </c>
      <c r="I14" s="3">
        <f t="shared" ref="I14:I21" ca="1" si="4">G14-H14</f>
        <v>151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50</v>
      </c>
      <c r="D15" s="3">
        <f t="shared" ca="1" si="3"/>
        <v>450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1057.9000000000001</v>
      </c>
      <c r="I15" s="3">
        <f t="shared" ca="1" si="4"/>
        <v>-857.90000000000009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372.26</v>
      </c>
      <c r="I16" s="3">
        <f t="shared" ca="1" si="4"/>
        <v>377.74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23.5</v>
      </c>
      <c r="I17" s="3">
        <f t="shared" ca="1" si="4"/>
        <v>106.5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49</v>
      </c>
      <c r="I18" s="3">
        <f t="shared" ca="1" si="4"/>
        <v>81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100</v>
      </c>
      <c r="I19" s="3">
        <f t="shared" ca="1" si="4"/>
        <v>100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139</v>
      </c>
      <c r="I20" s="3">
        <f t="shared" ca="1" si="4"/>
        <v>61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82.5</v>
      </c>
      <c r="I21" s="3">
        <f t="shared" ca="1" si="4"/>
        <v>67.5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4700</v>
      </c>
      <c r="D24" s="3">
        <f ca="1">SUM(D13:D23)</f>
        <v>1000</v>
      </c>
      <c r="F24" s="1" t="s">
        <v>8</v>
      </c>
      <c r="G24" s="3">
        <f>SUM(G13:G23)</f>
        <v>3795</v>
      </c>
      <c r="H24" s="3">
        <f ca="1">SUM(H13:H23)</f>
        <v>3973.16</v>
      </c>
      <c r="I24" s="3">
        <f ca="1">SUM(I13:I23)</f>
        <v>-178.16000000000008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C368-9EB0-49A5-A023-01AC2E985EAB}">
  <sheetPr codeName="Sheet5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5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4500</v>
      </c>
      <c r="D5" s="7">
        <f t="shared" ca="1" si="0"/>
        <v>1200</v>
      </c>
    </row>
    <row r="6" spans="1:26" x14ac:dyDescent="0.25">
      <c r="A6" s="4" t="s">
        <v>5</v>
      </c>
      <c r="B6" s="7">
        <f>G24</f>
        <v>3795</v>
      </c>
      <c r="C6" s="7">
        <f ca="1">H24</f>
        <v>3210</v>
      </c>
      <c r="D6" s="7">
        <f ca="1">I24</f>
        <v>585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1290</v>
      </c>
      <c r="D7" s="7">
        <f t="shared" ca="1" si="1"/>
        <v>615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0</v>
      </c>
      <c r="D14" s="3">
        <f t="shared" ref="D14:D18" ca="1" si="3">B14-C14</f>
        <v>300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0</v>
      </c>
      <c r="I14" s="3">
        <f t="shared" ref="I14:I21" ca="1" si="4">G14-H14</f>
        <v>300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0</v>
      </c>
      <c r="D15" s="3">
        <f t="shared" ca="1" si="3"/>
        <v>500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80</v>
      </c>
      <c r="I15" s="3">
        <f t="shared" ca="1" si="4"/>
        <v>120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1000</v>
      </c>
      <c r="I16" s="3">
        <f t="shared" ca="1" si="4"/>
        <v>-250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0</v>
      </c>
      <c r="I17" s="3">
        <f t="shared" ca="1" si="4"/>
        <v>130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50</v>
      </c>
      <c r="I18" s="3">
        <f t="shared" ca="1" si="4"/>
        <v>80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0</v>
      </c>
      <c r="I19" s="3">
        <f t="shared" ca="1" si="4"/>
        <v>200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0</v>
      </c>
      <c r="I20" s="3">
        <f t="shared" ca="1" si="4"/>
        <v>200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80</v>
      </c>
      <c r="I21" s="3">
        <f t="shared" ca="1" si="4"/>
        <v>70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4500</v>
      </c>
      <c r="D24" s="3">
        <f ca="1">SUM(D13:D23)</f>
        <v>1200</v>
      </c>
      <c r="F24" s="1" t="s">
        <v>8</v>
      </c>
      <c r="G24" s="3">
        <f>SUM(G13:G23)</f>
        <v>3795</v>
      </c>
      <c r="H24" s="3">
        <f ca="1">SUM(H13:H23)</f>
        <v>3210</v>
      </c>
      <c r="I24" s="3">
        <f ca="1">SUM(I13:I23)</f>
        <v>585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1A9C-409A-4F0B-88CC-186CA7037E52}">
  <sheetPr codeName="Sheet6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6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4900</v>
      </c>
      <c r="D5" s="7">
        <f t="shared" ca="1" si="0"/>
        <v>800</v>
      </c>
    </row>
    <row r="6" spans="1:26" x14ac:dyDescent="0.25">
      <c r="A6" s="4" t="s">
        <v>5</v>
      </c>
      <c r="B6" s="7">
        <f>G24</f>
        <v>3795</v>
      </c>
      <c r="C6" s="7">
        <f ca="1">H24</f>
        <v>3730</v>
      </c>
      <c r="D6" s="7">
        <f ca="1">I24</f>
        <v>65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1170</v>
      </c>
      <c r="D7" s="7">
        <f t="shared" ca="1" si="1"/>
        <v>735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400</v>
      </c>
      <c r="D13" s="3">
        <f ca="1">B13-C13</f>
        <v>2100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0</v>
      </c>
      <c r="D14" s="3">
        <f t="shared" ref="D14:D18" ca="1" si="3">B14-C14</f>
        <v>300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300</v>
      </c>
      <c r="I14" s="3">
        <f t="shared" ref="I14:I21" ca="1" si="4">G14-H14</f>
        <v>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0</v>
      </c>
      <c r="D15" s="3">
        <f t="shared" ca="1" si="3"/>
        <v>500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200</v>
      </c>
      <c r="I15" s="3">
        <f t="shared" ca="1" si="4"/>
        <v>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1000</v>
      </c>
      <c r="I16" s="3">
        <f t="shared" ca="1" si="4"/>
        <v>-250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100</v>
      </c>
      <c r="I17" s="3">
        <f t="shared" ca="1" si="4"/>
        <v>30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50</v>
      </c>
      <c r="I18" s="3">
        <f t="shared" ca="1" si="4"/>
        <v>80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0</v>
      </c>
      <c r="I19" s="3">
        <f t="shared" ca="1" si="4"/>
        <v>200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0</v>
      </c>
      <c r="I20" s="3">
        <f t="shared" ca="1" si="4"/>
        <v>200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80</v>
      </c>
      <c r="I21" s="3">
        <f t="shared" ca="1" si="4"/>
        <v>70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4900</v>
      </c>
      <c r="D24" s="3">
        <f ca="1">SUM(D13:D23)</f>
        <v>800</v>
      </c>
      <c r="F24" s="1" t="s">
        <v>8</v>
      </c>
      <c r="G24" s="3">
        <f>SUM(G13:G23)</f>
        <v>3795</v>
      </c>
      <c r="H24" s="3">
        <f ca="1">SUM(H13:H23)</f>
        <v>3730</v>
      </c>
      <c r="I24" s="3">
        <f ca="1">SUM(I13:I23)</f>
        <v>65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0DDB-3DC4-49D5-8AD4-76F36FB2AD01}">
  <sheetPr codeName="Sheet7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7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5920</v>
      </c>
      <c r="D5" s="7">
        <f t="shared" ca="1" si="0"/>
        <v>-220</v>
      </c>
    </row>
    <row r="6" spans="1:26" x14ac:dyDescent="0.25">
      <c r="A6" s="4" t="s">
        <v>5</v>
      </c>
      <c r="B6" s="7">
        <f>G24</f>
        <v>3795</v>
      </c>
      <c r="C6" s="7">
        <f ca="1">H24</f>
        <v>3505</v>
      </c>
      <c r="D6" s="7">
        <f ca="1">I24</f>
        <v>290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2415</v>
      </c>
      <c r="D7" s="7">
        <f t="shared" ca="1" si="1"/>
        <v>-510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120</v>
      </c>
      <c r="D14" s="3">
        <f t="shared" ref="D14:D18" ca="1" si="3">B14-C14</f>
        <v>180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250</v>
      </c>
      <c r="I14" s="3">
        <f t="shared" ref="I14:I21" ca="1" si="4">G14-H14</f>
        <v>50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800</v>
      </c>
      <c r="D15" s="3">
        <f t="shared" ca="1" si="3"/>
        <v>-300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700</v>
      </c>
      <c r="I15" s="3">
        <f t="shared" ca="1" si="4"/>
        <v>-500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165</v>
      </c>
      <c r="I16" s="3">
        <f t="shared" ca="1" si="4"/>
        <v>585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300</v>
      </c>
      <c r="I17" s="3">
        <f t="shared" ca="1" si="4"/>
        <v>-170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500</v>
      </c>
      <c r="D18" s="3">
        <f t="shared" ca="1" si="3"/>
        <v>300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0</v>
      </c>
      <c r="I18" s="3">
        <f t="shared" ca="1" si="4"/>
        <v>130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0</v>
      </c>
      <c r="I19" s="3">
        <f t="shared" ca="1" si="4"/>
        <v>200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0</v>
      </c>
      <c r="I20" s="3">
        <f t="shared" ca="1" si="4"/>
        <v>200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90</v>
      </c>
      <c r="I21" s="3">
        <f t="shared" ca="1" si="4"/>
        <v>60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5920</v>
      </c>
      <c r="D24" s="3">
        <f ca="1">SUM(D13:D23)</f>
        <v>-220</v>
      </c>
      <c r="F24" s="1" t="s">
        <v>8</v>
      </c>
      <c r="G24" s="3">
        <f>SUM(G13:G23)</f>
        <v>3795</v>
      </c>
      <c r="H24" s="3">
        <f ca="1">SUM(H13:H23)</f>
        <v>3505</v>
      </c>
      <c r="I24" s="3">
        <f ca="1">SUM(I13:I23)</f>
        <v>290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91A3-0810-40D8-BA9A-DD59BA492A9C}">
  <sheetPr codeName="Sheet8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8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5400</v>
      </c>
      <c r="D5" s="7">
        <f t="shared" ca="1" si="0"/>
        <v>300</v>
      </c>
    </row>
    <row r="6" spans="1:26" x14ac:dyDescent="0.25">
      <c r="A6" s="4" t="s">
        <v>5</v>
      </c>
      <c r="B6" s="7">
        <f>G24</f>
        <v>3795</v>
      </c>
      <c r="C6" s="7">
        <f ca="1">H24</f>
        <v>3989.5</v>
      </c>
      <c r="D6" s="7">
        <f ca="1">I24</f>
        <v>-194.5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1410.5</v>
      </c>
      <c r="D7" s="7">
        <f t="shared" ca="1" si="1"/>
        <v>494.5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0</v>
      </c>
      <c r="D14" s="3">
        <f t="shared" ref="D14:D18" ca="1" si="3">B14-C14</f>
        <v>300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300</v>
      </c>
      <c r="I14" s="3">
        <f t="shared" ref="I14:I21" ca="1" si="4">G14-H14</f>
        <v>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400</v>
      </c>
      <c r="D15" s="3">
        <f t="shared" ca="1" si="3"/>
        <v>100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250</v>
      </c>
      <c r="I15" s="3">
        <f t="shared" ca="1" si="4"/>
        <v>-50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749.5</v>
      </c>
      <c r="I16" s="3">
        <f t="shared" ca="1" si="4"/>
        <v>0.5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400</v>
      </c>
      <c r="I17" s="3">
        <f t="shared" ca="1" si="4"/>
        <v>-270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500</v>
      </c>
      <c r="D18" s="3">
        <f t="shared" ca="1" si="3"/>
        <v>300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0</v>
      </c>
      <c r="I18" s="3">
        <f t="shared" ca="1" si="4"/>
        <v>130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0</v>
      </c>
      <c r="I19" s="3">
        <f t="shared" ca="1" si="4"/>
        <v>200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0</v>
      </c>
      <c r="I20" s="3">
        <f t="shared" ca="1" si="4"/>
        <v>200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290</v>
      </c>
      <c r="I21" s="3">
        <f t="shared" ca="1" si="4"/>
        <v>-140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5400</v>
      </c>
      <c r="D24" s="3">
        <f ca="1">SUM(D13:D23)</f>
        <v>300</v>
      </c>
      <c r="F24" s="1" t="s">
        <v>8</v>
      </c>
      <c r="G24" s="3">
        <f>SUM(G13:G23)</f>
        <v>3795</v>
      </c>
      <c r="H24" s="3">
        <f ca="1">SUM(H13:H23)</f>
        <v>3989.5</v>
      </c>
      <c r="I24" s="3">
        <f ca="1">SUM(I13:I23)</f>
        <v>-194.5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9EF9-8346-4A2A-883B-D06BB5A3B2B9}">
  <sheetPr codeName="Sheet9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9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4500</v>
      </c>
      <c r="D5" s="7">
        <f t="shared" ca="1" si="0"/>
        <v>1200</v>
      </c>
    </row>
    <row r="6" spans="1:26" x14ac:dyDescent="0.25">
      <c r="A6" s="4" t="s">
        <v>5</v>
      </c>
      <c r="B6" s="7">
        <f>G24</f>
        <v>3795</v>
      </c>
      <c r="C6" s="7">
        <f ca="1">H24</f>
        <v>2748.5</v>
      </c>
      <c r="D6" s="7">
        <f ca="1">I24</f>
        <v>1046.5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1751.5</v>
      </c>
      <c r="D7" s="7">
        <f t="shared" ca="1" si="1"/>
        <v>153.5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0</v>
      </c>
      <c r="D14" s="3">
        <f t="shared" ref="D14:D18" ca="1" si="3">B14-C14</f>
        <v>300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0</v>
      </c>
      <c r="I14" s="3">
        <f t="shared" ref="I14:I21" ca="1" si="4">G14-H14</f>
        <v>300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0</v>
      </c>
      <c r="D15" s="3">
        <f t="shared" ca="1" si="3"/>
        <v>500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20</v>
      </c>
      <c r="I15" s="3">
        <f t="shared" ca="1" si="4"/>
        <v>180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538.5</v>
      </c>
      <c r="I16" s="3">
        <f t="shared" ca="1" si="4"/>
        <v>211.5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0</v>
      </c>
      <c r="I17" s="3">
        <f t="shared" ca="1" si="4"/>
        <v>130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40</v>
      </c>
      <c r="I18" s="3">
        <f t="shared" ca="1" si="4"/>
        <v>90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0</v>
      </c>
      <c r="I19" s="3">
        <f t="shared" ca="1" si="4"/>
        <v>200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0</v>
      </c>
      <c r="I20" s="3">
        <f t="shared" ca="1" si="4"/>
        <v>200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150</v>
      </c>
      <c r="I21" s="3">
        <f t="shared" ca="1" si="4"/>
        <v>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4500</v>
      </c>
      <c r="D24" s="3">
        <f ca="1">SUM(D13:D23)</f>
        <v>1200</v>
      </c>
      <c r="F24" s="1" t="s">
        <v>8</v>
      </c>
      <c r="G24" s="3">
        <f>SUM(G13:G23)</f>
        <v>3795</v>
      </c>
      <c r="H24" s="3">
        <f ca="1">SUM(H13:H23)</f>
        <v>2748.5</v>
      </c>
      <c r="I24" s="3">
        <f ca="1">SUM(I13:I23)</f>
        <v>1046.5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E081-68FB-4B91-9641-D5911C4AC751}">
  <sheetPr codeName="Sheet10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10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4500</v>
      </c>
      <c r="D5" s="7">
        <f t="shared" ca="1" si="0"/>
        <v>1200</v>
      </c>
    </row>
    <row r="6" spans="1:26" x14ac:dyDescent="0.25">
      <c r="A6" s="4" t="s">
        <v>5</v>
      </c>
      <c r="B6" s="7">
        <f>G24</f>
        <v>3795</v>
      </c>
      <c r="C6" s="7">
        <f ca="1">H24</f>
        <v>2830</v>
      </c>
      <c r="D6" s="7">
        <f ca="1">I24</f>
        <v>965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1670</v>
      </c>
      <c r="D7" s="7">
        <f t="shared" ca="1" si="1"/>
        <v>235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0</v>
      </c>
      <c r="D14" s="3">
        <f t="shared" ref="D14:D18" ca="1" si="3">B14-C14</f>
        <v>300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0</v>
      </c>
      <c r="I14" s="3">
        <f t="shared" ref="I14:I21" ca="1" si="4">G14-H14</f>
        <v>300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0</v>
      </c>
      <c r="D15" s="3">
        <f t="shared" ca="1" si="3"/>
        <v>500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40</v>
      </c>
      <c r="I15" s="3">
        <f t="shared" ca="1" si="4"/>
        <v>160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600</v>
      </c>
      <c r="I16" s="3">
        <f t="shared" ca="1" si="4"/>
        <v>150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0</v>
      </c>
      <c r="I17" s="3">
        <f t="shared" ca="1" si="4"/>
        <v>130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40</v>
      </c>
      <c r="I18" s="3">
        <f t="shared" ca="1" si="4"/>
        <v>90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0</v>
      </c>
      <c r="I19" s="3">
        <f t="shared" ca="1" si="4"/>
        <v>200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0</v>
      </c>
      <c r="I20" s="3">
        <f t="shared" ca="1" si="4"/>
        <v>200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150</v>
      </c>
      <c r="I21" s="3">
        <f t="shared" ca="1" si="4"/>
        <v>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4500</v>
      </c>
      <c r="D24" s="3">
        <f ca="1">SUM(D13:D23)</f>
        <v>1200</v>
      </c>
      <c r="F24" s="1" t="s">
        <v>8</v>
      </c>
      <c r="G24" s="3">
        <f>SUM(G13:G23)</f>
        <v>3795</v>
      </c>
      <c r="H24" s="3">
        <f ca="1">SUM(H13:H23)</f>
        <v>2830</v>
      </c>
      <c r="I24" s="3">
        <f ca="1">SUM(I13:I23)</f>
        <v>965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08A2-D5C2-4A25-9ECF-0DB16AA52BBF}">
  <sheetPr codeName="Sheet11"/>
  <dimension ref="A1:Z25"/>
  <sheetViews>
    <sheetView topLeftCell="A4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11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4900</v>
      </c>
      <c r="D5" s="7">
        <f t="shared" ca="1" si="0"/>
        <v>800</v>
      </c>
    </row>
    <row r="6" spans="1:26" x14ac:dyDescent="0.25">
      <c r="A6" s="4" t="s">
        <v>5</v>
      </c>
      <c r="B6" s="7">
        <f>G24</f>
        <v>3795</v>
      </c>
      <c r="C6" s="7">
        <f ca="1">H24</f>
        <v>3500</v>
      </c>
      <c r="D6" s="7">
        <f ca="1">I24</f>
        <v>295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1400</v>
      </c>
      <c r="D7" s="7">
        <f t="shared" ca="1" si="1"/>
        <v>505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0</v>
      </c>
      <c r="D14" s="3">
        <f t="shared" ref="D14:D18" ca="1" si="3">B14-C14</f>
        <v>300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158</v>
      </c>
      <c r="I14" s="3">
        <f t="shared" ref="I14:I21" ca="1" si="4">G14-H14</f>
        <v>142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400</v>
      </c>
      <c r="D15" s="3">
        <f t="shared" ca="1" si="3"/>
        <v>100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214</v>
      </c>
      <c r="I15" s="3">
        <f t="shared" ca="1" si="4"/>
        <v>-14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506</v>
      </c>
      <c r="I16" s="3">
        <f t="shared" ca="1" si="4"/>
        <v>244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133</v>
      </c>
      <c r="I17" s="3">
        <f t="shared" ca="1" si="4"/>
        <v>-3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47</v>
      </c>
      <c r="I18" s="3">
        <f t="shared" ca="1" si="4"/>
        <v>83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234</v>
      </c>
      <c r="I19" s="3">
        <f t="shared" ca="1" si="4"/>
        <v>-34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0</v>
      </c>
      <c r="I20" s="3">
        <f t="shared" ca="1" si="4"/>
        <v>200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208</v>
      </c>
      <c r="I21" s="3">
        <f t="shared" ca="1" si="4"/>
        <v>-58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4900</v>
      </c>
      <c r="D24" s="3">
        <f ca="1">SUM(D13:D23)</f>
        <v>800</v>
      </c>
      <c r="F24" s="1" t="s">
        <v>8</v>
      </c>
      <c r="G24" s="3">
        <f>SUM(G13:G23)</f>
        <v>3795</v>
      </c>
      <c r="H24" s="3">
        <f ca="1">SUM(H13:H23)</f>
        <v>3500</v>
      </c>
      <c r="I24" s="3">
        <f ca="1">SUM(I13:I23)</f>
        <v>295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7407-0AF2-4368-ACF6-F95DCD4E7D17}">
  <sheetPr codeName="Sheet12"/>
  <dimension ref="A1:Z25"/>
  <sheetViews>
    <sheetView tabSelected="1" workbookViewId="0">
      <selection activeCell="H9" sqref="H9"/>
    </sheetView>
  </sheetViews>
  <sheetFormatPr defaultRowHeight="15" x14ac:dyDescent="0.25"/>
  <cols>
    <col min="1" max="1" width="12.7109375" customWidth="1"/>
    <col min="2" max="4" width="11.42578125" bestFit="1" customWidth="1"/>
    <col min="6" max="6" width="15.42578125" customWidth="1"/>
    <col min="7" max="9" width="11.42578125" bestFit="1" customWidth="1"/>
    <col min="11" max="11" width="12.7109375" customWidth="1"/>
    <col min="13" max="13" width="11.42578125" bestFit="1" customWidth="1"/>
    <col min="15" max="15" width="11.42578125" bestFit="1" customWidth="1"/>
    <col min="17" max="17" width="12.7109375" customWidth="1"/>
    <col min="19" max="19" width="9.85546875" bestFit="1" customWidth="1"/>
    <col min="21" max="21" width="9.85546875" bestFit="1" customWidth="1"/>
    <col min="23" max="23" width="18" customWidth="1"/>
    <col min="24" max="24" width="11.42578125" bestFit="1" customWidth="1"/>
    <col min="25" max="25" width="9.85546875" bestFit="1" customWidth="1"/>
    <col min="26" max="26" width="11.42578125" bestFit="1" customWidth="1"/>
  </cols>
  <sheetData>
    <row r="1" spans="1:26" x14ac:dyDescent="0.25">
      <c r="A1" s="6" t="s">
        <v>0</v>
      </c>
      <c r="B1" s="6"/>
      <c r="C1" s="6"/>
      <c r="D1" s="6"/>
    </row>
    <row r="2" spans="1:26" x14ac:dyDescent="0.25">
      <c r="A2" s="6" t="str" cm="1">
        <f t="array" aca="1" ref="A2" ca="1">_xlfn.TEXTAFTER(CELL("filename",A1),"]")</f>
        <v>12</v>
      </c>
      <c r="B2" s="6"/>
      <c r="C2" s="6"/>
      <c r="D2" s="6"/>
    </row>
    <row r="4" spans="1:26" x14ac:dyDescent="0.25">
      <c r="B4" s="4" t="s">
        <v>1</v>
      </c>
      <c r="C4" s="7" t="s">
        <v>2</v>
      </c>
      <c r="D4" s="7" t="s">
        <v>3</v>
      </c>
    </row>
    <row r="5" spans="1:26" x14ac:dyDescent="0.25">
      <c r="A5" s="4" t="s">
        <v>4</v>
      </c>
      <c r="B5" s="7">
        <f>B24</f>
        <v>5700</v>
      </c>
      <c r="C5" s="7">
        <f t="shared" ref="C5:D5" ca="1" si="0">C24</f>
        <v>6500</v>
      </c>
      <c r="D5" s="7">
        <f t="shared" ca="1" si="0"/>
        <v>-800</v>
      </c>
    </row>
    <row r="6" spans="1:26" x14ac:dyDescent="0.25">
      <c r="A6" s="4" t="s">
        <v>5</v>
      </c>
      <c r="B6" s="7">
        <f>G24</f>
        <v>3795</v>
      </c>
      <c r="C6" s="7">
        <f ca="1">H24</f>
        <v>4080</v>
      </c>
      <c r="D6" s="7">
        <f ca="1">I24</f>
        <v>-285</v>
      </c>
    </row>
    <row r="7" spans="1:26" x14ac:dyDescent="0.25">
      <c r="A7" s="4" t="s">
        <v>6</v>
      </c>
      <c r="B7" s="7">
        <f>B5-B6</f>
        <v>1905</v>
      </c>
      <c r="C7" s="7">
        <f t="shared" ref="C7:D7" ca="1" si="1">C5-C6</f>
        <v>2420</v>
      </c>
      <c r="D7" s="7">
        <f t="shared" ca="1" si="1"/>
        <v>-515</v>
      </c>
    </row>
    <row r="9" spans="1:26" x14ac:dyDescent="0.25">
      <c r="A9" s="5" t="s">
        <v>7</v>
      </c>
      <c r="B9" s="8">
        <f>B5-B6-B7</f>
        <v>0</v>
      </c>
      <c r="C9" s="8">
        <f t="shared" ref="C9:D9" ca="1" si="2">C5-C6-C7</f>
        <v>0</v>
      </c>
      <c r="D9" s="8">
        <f t="shared" ca="1" si="2"/>
        <v>0</v>
      </c>
    </row>
    <row r="10" spans="1:26" ht="15.75" thickBot="1" x14ac:dyDescent="0.3"/>
    <row r="11" spans="1:26" ht="16.5" thickTop="1" thickBot="1" x14ac:dyDescent="0.3">
      <c r="A11" s="2" t="s">
        <v>4</v>
      </c>
      <c r="B11" s="2"/>
      <c r="C11" s="2"/>
      <c r="D11" s="2"/>
      <c r="F11" s="2" t="s">
        <v>5</v>
      </c>
      <c r="G11" s="2"/>
      <c r="H11" s="2"/>
      <c r="I11" s="2"/>
      <c r="K11" s="2" t="s">
        <v>9</v>
      </c>
      <c r="L11" s="2"/>
      <c r="M11" s="2"/>
      <c r="N11" s="2"/>
      <c r="O11" s="2"/>
      <c r="Q11" s="2" t="s">
        <v>10</v>
      </c>
      <c r="R11" s="2"/>
      <c r="S11" s="2"/>
      <c r="T11" s="2"/>
      <c r="U11" s="2"/>
      <c r="W11" s="2" t="s">
        <v>6</v>
      </c>
      <c r="X11" s="2"/>
      <c r="Y11" s="2"/>
      <c r="Z11" s="2"/>
    </row>
    <row r="12" spans="1:26" ht="16.5" thickTop="1" thickBot="1" x14ac:dyDescent="0.3">
      <c r="A12" s="1" t="s">
        <v>11</v>
      </c>
      <c r="B12" s="1" t="s">
        <v>1</v>
      </c>
      <c r="C12" s="1" t="s">
        <v>2</v>
      </c>
      <c r="D12" s="1" t="s">
        <v>3</v>
      </c>
      <c r="F12" s="1" t="s">
        <v>12</v>
      </c>
      <c r="G12" s="1" t="s">
        <v>1</v>
      </c>
      <c r="H12" s="1" t="s">
        <v>2</v>
      </c>
      <c r="I12" s="1" t="s">
        <v>3</v>
      </c>
      <c r="K12" s="1" t="s">
        <v>13</v>
      </c>
      <c r="L12" s="1" t="s">
        <v>16</v>
      </c>
      <c r="M12" s="1" t="s">
        <v>1</v>
      </c>
      <c r="N12" s="1" t="s">
        <v>2</v>
      </c>
      <c r="O12" s="1" t="s">
        <v>3</v>
      </c>
      <c r="Q12" s="1" t="s">
        <v>14</v>
      </c>
      <c r="R12" s="1" t="s">
        <v>16</v>
      </c>
      <c r="S12" s="1" t="s">
        <v>1</v>
      </c>
      <c r="T12" s="1" t="s">
        <v>2</v>
      </c>
      <c r="U12" s="1" t="s">
        <v>3</v>
      </c>
      <c r="W12" s="1" t="s">
        <v>15</v>
      </c>
      <c r="X12" s="1" t="s">
        <v>1</v>
      </c>
      <c r="Y12" s="1" t="s">
        <v>2</v>
      </c>
      <c r="Z12" s="1" t="s">
        <v>3</v>
      </c>
    </row>
    <row r="13" spans="1:26" ht="16.5" thickTop="1" thickBot="1" x14ac:dyDescent="0.3">
      <c r="A13" s="1" t="s">
        <v>26</v>
      </c>
      <c r="B13" s="3">
        <v>2500</v>
      </c>
      <c r="C13" s="3" cm="1">
        <f t="array" aca="1" ref="C13" ca="1">_xlfn.XLOOKUP(A13,INDIRECT("Finances_BW.xlsx!Income_"&amp;$A$2&amp;"[Category]"),INDIRECT("Finances_BW.xlsx!Income_"&amp;$A$2&amp;"[Total]"),"",0,1)</f>
        <v>0</v>
      </c>
      <c r="D13" s="3">
        <f ca="1">B13-C13</f>
        <v>2500</v>
      </c>
      <c r="F13" s="1" t="s">
        <v>17</v>
      </c>
      <c r="G13" s="3">
        <v>1735</v>
      </c>
      <c r="H13" s="3" cm="1">
        <f t="array" aca="1" ref="H13" ca="1">ABS(_xlfn.XLOOKUP(F13,INDIRECT("Finances_BW.xlsx!Expenses_"&amp;$A$2&amp;"[Category]"),INDIRECT("Finances_BW.xlsx!Expenses_"&amp;$A$2&amp;"[Total]"),"",0,1))</f>
        <v>2000</v>
      </c>
      <c r="I13" s="3">
        <f ca="1">G13-H13</f>
        <v>-265</v>
      </c>
      <c r="K13" s="1" t="s">
        <v>32</v>
      </c>
      <c r="L13" s="1"/>
      <c r="M13" s="3">
        <v>1500</v>
      </c>
      <c r="N13" s="3"/>
      <c r="O13" s="3">
        <f>M13-N13</f>
        <v>1500</v>
      </c>
      <c r="Q13" s="1" t="s">
        <v>38</v>
      </c>
      <c r="R13" s="1"/>
      <c r="S13" s="3">
        <v>12.99</v>
      </c>
      <c r="T13" s="3"/>
      <c r="U13" s="3">
        <f>S13-T13</f>
        <v>12.99</v>
      </c>
      <c r="W13" s="1" t="s">
        <v>43</v>
      </c>
      <c r="X13" s="3">
        <v>500</v>
      </c>
      <c r="Y13" s="3">
        <v>500</v>
      </c>
      <c r="Z13" s="3">
        <f>X13-Y13</f>
        <v>0</v>
      </c>
    </row>
    <row r="14" spans="1:26" ht="16.5" thickTop="1" thickBot="1" x14ac:dyDescent="0.3">
      <c r="A14" s="1" t="s">
        <v>27</v>
      </c>
      <c r="B14" s="3">
        <v>300</v>
      </c>
      <c r="C14" s="3" cm="1">
        <f t="array" aca="1" ref="C14" ca="1">_xlfn.XLOOKUP(A14,INDIRECT("Finances_BW.xlsx!Income_"&amp;$A$2&amp;"[Category]"),INDIRECT("Finances_BW.xlsx!Income_"&amp;$A$2&amp;"[Total]"),"",0,1)</f>
        <v>0</v>
      </c>
      <c r="D14" s="3">
        <f t="shared" ref="D14:D18" ca="1" si="3">B14-C14</f>
        <v>300</v>
      </c>
      <c r="F14" s="1" t="s">
        <v>18</v>
      </c>
      <c r="G14" s="3">
        <v>300</v>
      </c>
      <c r="H14" s="3" cm="1">
        <f t="array" aca="1" ref="H14" ca="1">ABS(_xlfn.XLOOKUP(F14,INDIRECT("Finances_BW.xlsx!Expenses_"&amp;$A$2&amp;"[Category]"),INDIRECT("Finances_BW.xlsx!Expenses_"&amp;$A$2&amp;"[Total]"),"",0,1))</f>
        <v>120</v>
      </c>
      <c r="I14" s="3">
        <f t="shared" ref="I14:I21" ca="1" si="4">G14-H14</f>
        <v>180</v>
      </c>
      <c r="K14" s="1" t="s">
        <v>33</v>
      </c>
      <c r="L14" s="1"/>
      <c r="M14" s="3">
        <v>80</v>
      </c>
      <c r="N14" s="3"/>
      <c r="O14" s="3">
        <f t="shared" ref="O14:O18" si="5">M14-N14</f>
        <v>80</v>
      </c>
      <c r="Q14" s="1" t="s">
        <v>39</v>
      </c>
      <c r="R14" s="1"/>
      <c r="S14" s="3">
        <v>33</v>
      </c>
      <c r="T14" s="3"/>
      <c r="U14" s="3">
        <f t="shared" ref="U14:U15" si="6">S14-T14</f>
        <v>33</v>
      </c>
      <c r="W14" s="1" t="s">
        <v>44</v>
      </c>
      <c r="X14" s="3">
        <v>800</v>
      </c>
      <c r="Y14" s="3"/>
      <c r="Z14" s="3">
        <f t="shared" ref="Z14:Z15" si="7">X14-Y14</f>
        <v>800</v>
      </c>
    </row>
    <row r="15" spans="1:26" ht="16.5" thickTop="1" thickBot="1" x14ac:dyDescent="0.3">
      <c r="A15" s="1" t="s">
        <v>28</v>
      </c>
      <c r="B15" s="3">
        <v>500</v>
      </c>
      <c r="C15" s="3" cm="1">
        <f t="array" aca="1" ref="C15" ca="1">_xlfn.XLOOKUP(A15,INDIRECT("Finances_BW.xlsx!Income_"&amp;$A$2&amp;"[Category]"),INDIRECT("Finances_BW.xlsx!Income_"&amp;$A$2&amp;"[Total]"),"",0,1)</f>
        <v>2000</v>
      </c>
      <c r="D15" s="3">
        <f t="shared" ca="1" si="3"/>
        <v>-1500</v>
      </c>
      <c r="F15" s="1" t="s">
        <v>19</v>
      </c>
      <c r="G15" s="3">
        <v>200</v>
      </c>
      <c r="H15" s="3" cm="1">
        <f t="array" aca="1" ref="H15" ca="1">ABS(_xlfn.XLOOKUP(F15,INDIRECT("Finances_BW.xlsx!Expenses_"&amp;$A$2&amp;"[Category]"),INDIRECT("Finances_BW.xlsx!Expenses_"&amp;$A$2&amp;"[Total]"),"",0,1))</f>
        <v>450</v>
      </c>
      <c r="I15" s="3">
        <f t="shared" ca="1" si="4"/>
        <v>-250</v>
      </c>
      <c r="K15" s="1" t="s">
        <v>34</v>
      </c>
      <c r="L15" s="1"/>
      <c r="M15" s="3">
        <v>35</v>
      </c>
      <c r="N15" s="3"/>
      <c r="O15" s="3">
        <f t="shared" si="5"/>
        <v>35</v>
      </c>
      <c r="Q15" s="1" t="s">
        <v>40</v>
      </c>
      <c r="R15" s="1"/>
      <c r="S15" s="3">
        <v>22.99</v>
      </c>
      <c r="T15" s="3"/>
      <c r="U15" s="3">
        <f t="shared" si="6"/>
        <v>22.99</v>
      </c>
      <c r="W15" s="1" t="s">
        <v>45</v>
      </c>
      <c r="X15" s="3">
        <v>605</v>
      </c>
      <c r="Y15" s="3"/>
      <c r="Z15" s="3">
        <f t="shared" si="7"/>
        <v>605</v>
      </c>
    </row>
    <row r="16" spans="1:26" ht="16.5" thickTop="1" thickBot="1" x14ac:dyDescent="0.3">
      <c r="A16" s="1" t="s">
        <v>29</v>
      </c>
      <c r="B16" s="3">
        <v>100</v>
      </c>
      <c r="C16" s="3" cm="1">
        <f t="array" aca="1" ref="C16" ca="1">_xlfn.XLOOKUP(A16,INDIRECT("Finances_BW.xlsx!Income_"&amp;$A$2&amp;"[Category]"),INDIRECT("Finances_BW.xlsx!Income_"&amp;$A$2&amp;"[Total]"),"",0,1)</f>
        <v>0</v>
      </c>
      <c r="D16" s="3">
        <f t="shared" ca="1" si="3"/>
        <v>100</v>
      </c>
      <c r="F16" s="1" t="s">
        <v>20</v>
      </c>
      <c r="G16" s="3">
        <v>750</v>
      </c>
      <c r="H16" s="3" cm="1">
        <f t="array" aca="1" ref="H16" ca="1">ABS(_xlfn.XLOOKUP(F16,INDIRECT("Finances_BW.xlsx!Expenses_"&amp;$A$2&amp;"[Category]"),INDIRECT("Finances_BW.xlsx!Expenses_"&amp;$A$2&amp;"[Total]"),"",0,1))</f>
        <v>700</v>
      </c>
      <c r="I16" s="3">
        <f t="shared" ca="1" si="4"/>
        <v>50</v>
      </c>
      <c r="K16" s="1" t="s">
        <v>35</v>
      </c>
      <c r="L16" s="1"/>
      <c r="M16" s="3">
        <v>25</v>
      </c>
      <c r="N16" s="3"/>
      <c r="O16" s="3">
        <f t="shared" si="5"/>
        <v>25</v>
      </c>
      <c r="Q16" s="1" t="s">
        <v>41</v>
      </c>
      <c r="R16" s="1"/>
      <c r="S16" s="3">
        <v>100</v>
      </c>
      <c r="T16" s="3"/>
      <c r="U16" s="3">
        <f>S16-T16</f>
        <v>100</v>
      </c>
      <c r="W16" s="1"/>
      <c r="X16" s="3"/>
      <c r="Y16" s="3"/>
      <c r="Z16" s="3"/>
    </row>
    <row r="17" spans="1:26" ht="16.5" thickTop="1" thickBot="1" x14ac:dyDescent="0.3">
      <c r="A17" s="1" t="s">
        <v>30</v>
      </c>
      <c r="B17" s="3">
        <v>1500</v>
      </c>
      <c r="C17" s="3" cm="1">
        <f t="array" aca="1" ref="C17" ca="1">_xlfn.XLOOKUP(A17,INDIRECT("Finances_BW.xlsx!Income_"&amp;$A$2&amp;"[Category]"),INDIRECT("Finances_BW.xlsx!Income_"&amp;$A$2&amp;"[Total]"),"",0,1)</f>
        <v>4500</v>
      </c>
      <c r="D17" s="3">
        <f t="shared" ca="1" si="3"/>
        <v>-3000</v>
      </c>
      <c r="F17" s="1" t="s">
        <v>21</v>
      </c>
      <c r="G17" s="3">
        <v>130</v>
      </c>
      <c r="H17" s="3" cm="1">
        <f t="array" aca="1" ref="H17" ca="1">ABS(_xlfn.XLOOKUP(F17,INDIRECT("Finances_BW.xlsx!Expenses_"&amp;$A$2&amp;"[Category]"),INDIRECT("Finances_BW.xlsx!Expenses_"&amp;$A$2&amp;"[Total]"),"",0,1))</f>
        <v>10</v>
      </c>
      <c r="I17" s="3">
        <f t="shared" ca="1" si="4"/>
        <v>120</v>
      </c>
      <c r="K17" s="1" t="s">
        <v>36</v>
      </c>
      <c r="L17" s="1"/>
      <c r="M17" s="3">
        <v>35</v>
      </c>
      <c r="N17" s="3"/>
      <c r="O17" s="3">
        <f t="shared" si="5"/>
        <v>35</v>
      </c>
      <c r="Q17" s="1" t="s">
        <v>42</v>
      </c>
      <c r="R17" s="1"/>
      <c r="S17" s="3">
        <v>42.69</v>
      </c>
      <c r="T17" s="3"/>
      <c r="U17" s="3">
        <f t="shared" ref="U17" si="8">S17-T17</f>
        <v>42.69</v>
      </c>
      <c r="W17" s="1"/>
      <c r="X17" s="3"/>
      <c r="Y17" s="3"/>
      <c r="Z17" s="3"/>
    </row>
    <row r="18" spans="1:26" ht="16.5" thickTop="1" thickBot="1" x14ac:dyDescent="0.3">
      <c r="A18" s="1" t="s">
        <v>31</v>
      </c>
      <c r="B18" s="3">
        <v>800</v>
      </c>
      <c r="C18" s="3" cm="1">
        <f t="array" aca="1" ref="C18" ca="1">_xlfn.XLOOKUP(A18,INDIRECT("Finances_BW.xlsx!Income_"&amp;$A$2&amp;"[Category]"),INDIRECT("Finances_BW.xlsx!Income_"&amp;$A$2&amp;"[Total]"),"",0,1)</f>
        <v>0</v>
      </c>
      <c r="D18" s="3">
        <f t="shared" ca="1" si="3"/>
        <v>800</v>
      </c>
      <c r="F18" s="1" t="s">
        <v>22</v>
      </c>
      <c r="G18" s="3">
        <v>130</v>
      </c>
      <c r="H18" s="3" cm="1">
        <f t="array" aca="1" ref="H18" ca="1">ABS(_xlfn.XLOOKUP(F18,INDIRECT("Finances_BW.xlsx!Expenses_"&amp;$A$2&amp;"[Category]"),INDIRECT("Finances_BW.xlsx!Expenses_"&amp;$A$2&amp;"[Total]"),"",0,1))</f>
        <v>0</v>
      </c>
      <c r="I18" s="3">
        <f t="shared" ca="1" si="4"/>
        <v>130</v>
      </c>
      <c r="K18" s="1" t="s">
        <v>37</v>
      </c>
      <c r="L18" s="1"/>
      <c r="M18" s="3">
        <v>60</v>
      </c>
      <c r="N18" s="3"/>
      <c r="O18" s="3">
        <f t="shared" si="5"/>
        <v>60</v>
      </c>
      <c r="Q18" s="1"/>
      <c r="R18" s="1"/>
      <c r="S18" s="3"/>
      <c r="T18" s="3"/>
      <c r="U18" s="3"/>
      <c r="W18" s="1"/>
      <c r="X18" s="3"/>
      <c r="Y18" s="3"/>
      <c r="Z18" s="3"/>
    </row>
    <row r="19" spans="1:26" ht="16.5" thickTop="1" thickBot="1" x14ac:dyDescent="0.3">
      <c r="A19" s="1"/>
      <c r="B19" s="3"/>
      <c r="C19" s="3"/>
      <c r="D19" s="3"/>
      <c r="F19" s="1" t="s">
        <v>23</v>
      </c>
      <c r="G19" s="3">
        <v>200</v>
      </c>
      <c r="H19" s="3" cm="1">
        <f t="array" aca="1" ref="H19" ca="1">ABS(_xlfn.XLOOKUP(F19,INDIRECT("Finances_BW.xlsx!Expenses_"&amp;$A$2&amp;"[Category]"),INDIRECT("Finances_BW.xlsx!Expenses_"&amp;$A$2&amp;"[Total]"),"",0,1))</f>
        <v>700</v>
      </c>
      <c r="I19" s="3">
        <f t="shared" ca="1" si="4"/>
        <v>-500</v>
      </c>
      <c r="K19" s="1"/>
      <c r="L19" s="1"/>
      <c r="M19" s="3"/>
      <c r="N19" s="3"/>
      <c r="O19" s="3"/>
      <c r="Q19" s="1"/>
      <c r="R19" s="1"/>
      <c r="S19" s="3"/>
      <c r="T19" s="3"/>
      <c r="U19" s="3"/>
      <c r="W19" s="1"/>
      <c r="X19" s="3"/>
      <c r="Y19" s="3"/>
      <c r="Z19" s="3"/>
    </row>
    <row r="20" spans="1:26" ht="16.5" thickTop="1" thickBot="1" x14ac:dyDescent="0.3">
      <c r="A20" s="1"/>
      <c r="B20" s="3"/>
      <c r="C20" s="3"/>
      <c r="D20" s="3"/>
      <c r="F20" s="1" t="s">
        <v>24</v>
      </c>
      <c r="G20" s="3">
        <v>200</v>
      </c>
      <c r="H20" s="3" cm="1">
        <f t="array" aca="1" ref="H20" ca="1">ABS(_xlfn.XLOOKUP(F20,INDIRECT("Finances_BW.xlsx!Expenses_"&amp;$A$2&amp;"[Category]"),INDIRECT("Finances_BW.xlsx!Expenses_"&amp;$A$2&amp;"[Total]"),"",0,1))</f>
        <v>100</v>
      </c>
      <c r="I20" s="3">
        <f t="shared" ca="1" si="4"/>
        <v>100</v>
      </c>
      <c r="K20" s="1"/>
      <c r="L20" s="1"/>
      <c r="M20" s="3"/>
      <c r="N20" s="3"/>
      <c r="O20" s="3"/>
      <c r="Q20" s="1"/>
      <c r="R20" s="1"/>
      <c r="S20" s="3"/>
      <c r="T20" s="3"/>
      <c r="U20" s="3"/>
      <c r="W20" s="1"/>
      <c r="X20" s="3"/>
      <c r="Y20" s="3"/>
      <c r="Z20" s="3"/>
    </row>
    <row r="21" spans="1:26" ht="16.5" thickTop="1" thickBot="1" x14ac:dyDescent="0.3">
      <c r="A21" s="1"/>
      <c r="B21" s="3"/>
      <c r="C21" s="3"/>
      <c r="D21" s="3"/>
      <c r="F21" s="1" t="s">
        <v>25</v>
      </c>
      <c r="G21" s="3">
        <v>150</v>
      </c>
      <c r="H21" s="3" cm="1">
        <f t="array" aca="1" ref="H21" ca="1">ABS(_xlfn.XLOOKUP(F21,INDIRECT("Finances_BW.xlsx!Expenses_"&amp;$A$2&amp;"[Category]"),INDIRECT("Finances_BW.xlsx!Expenses_"&amp;$A$2&amp;"[Total]"),"",0,1))</f>
        <v>0</v>
      </c>
      <c r="I21" s="3">
        <f t="shared" ca="1" si="4"/>
        <v>150</v>
      </c>
      <c r="K21" s="1"/>
      <c r="L21" s="1"/>
      <c r="M21" s="3"/>
      <c r="N21" s="3"/>
      <c r="O21" s="3"/>
      <c r="Q21" s="1"/>
      <c r="R21" s="1"/>
      <c r="S21" s="3"/>
      <c r="T21" s="3"/>
      <c r="U21" s="3"/>
      <c r="W21" s="1"/>
      <c r="X21" s="3"/>
      <c r="Y21" s="3"/>
      <c r="Z21" s="3"/>
    </row>
    <row r="22" spans="1:26" ht="16.5" thickTop="1" thickBot="1" x14ac:dyDescent="0.3">
      <c r="A22" s="1"/>
      <c r="B22" s="3"/>
      <c r="C22" s="3"/>
      <c r="D22" s="3"/>
      <c r="F22" s="1"/>
      <c r="G22" s="3"/>
      <c r="H22" s="3"/>
      <c r="I22" s="3"/>
      <c r="K22" s="1"/>
      <c r="L22" s="1"/>
      <c r="M22" s="3"/>
      <c r="N22" s="3"/>
      <c r="O22" s="3"/>
      <c r="Q22" s="1"/>
      <c r="R22" s="1"/>
      <c r="S22" s="3"/>
      <c r="T22" s="3"/>
      <c r="U22" s="3"/>
      <c r="W22" s="1"/>
      <c r="X22" s="3"/>
      <c r="Y22" s="3"/>
      <c r="Z22" s="3"/>
    </row>
    <row r="23" spans="1:26" ht="16.5" thickTop="1" thickBot="1" x14ac:dyDescent="0.3">
      <c r="A23" s="1"/>
      <c r="B23" s="3"/>
      <c r="C23" s="3"/>
      <c r="D23" s="3"/>
      <c r="F23" s="1"/>
      <c r="G23" s="3"/>
      <c r="H23" s="3"/>
      <c r="I23" s="3"/>
      <c r="K23" s="1"/>
      <c r="L23" s="1"/>
      <c r="M23" s="3"/>
      <c r="N23" s="3"/>
      <c r="O23" s="3"/>
      <c r="Q23" s="1"/>
      <c r="R23" s="1"/>
      <c r="S23" s="3"/>
      <c r="T23" s="3"/>
      <c r="U23" s="3"/>
      <c r="W23" s="1"/>
      <c r="X23" s="3"/>
      <c r="Y23" s="3"/>
      <c r="Z23" s="3"/>
    </row>
    <row r="24" spans="1:26" ht="16.5" thickTop="1" thickBot="1" x14ac:dyDescent="0.3">
      <c r="A24" s="1" t="s">
        <v>8</v>
      </c>
      <c r="B24" s="3">
        <f>SUM(B13:B23)</f>
        <v>5700</v>
      </c>
      <c r="C24" s="3">
        <f ca="1">SUM(C13:C18)</f>
        <v>6500</v>
      </c>
      <c r="D24" s="3">
        <f ca="1">SUM(D13:D23)</f>
        <v>-800</v>
      </c>
      <c r="F24" s="1" t="s">
        <v>8</v>
      </c>
      <c r="G24" s="3">
        <f>SUM(G13:G23)</f>
        <v>3795</v>
      </c>
      <c r="H24" s="3">
        <f ca="1">SUM(H13:H23)</f>
        <v>4080</v>
      </c>
      <c r="I24" s="3">
        <f ca="1">SUM(I13:I23)</f>
        <v>-285</v>
      </c>
      <c r="K24" s="1" t="s">
        <v>8</v>
      </c>
      <c r="L24" s="1"/>
      <c r="M24" s="3">
        <f>SUM(M13:M23)</f>
        <v>1735</v>
      </c>
      <c r="N24" s="3">
        <f>SUM(N13:N23)</f>
        <v>0</v>
      </c>
      <c r="O24" s="3">
        <f>SUM(O13:O23)</f>
        <v>1735</v>
      </c>
      <c r="Q24" s="1" t="s">
        <v>8</v>
      </c>
      <c r="R24" s="1"/>
      <c r="S24" s="3">
        <f>SUM(S13:S23)</f>
        <v>211.67000000000002</v>
      </c>
      <c r="T24" s="3">
        <f>SUM(T13:T23)</f>
        <v>0</v>
      </c>
      <c r="U24" s="3">
        <f>SUM(U13:U23)</f>
        <v>211.67000000000002</v>
      </c>
      <c r="W24" s="1" t="s">
        <v>8</v>
      </c>
      <c r="X24" s="3">
        <f>SUM(X13:X15)</f>
        <v>1905</v>
      </c>
      <c r="Y24" s="3">
        <f>SUM(Y13:Y23)</f>
        <v>500</v>
      </c>
      <c r="Z24" s="3">
        <f>SUM(Z13:Z15)</f>
        <v>1405</v>
      </c>
    </row>
    <row r="25" spans="1:26" ht="15.75" thickTop="1" x14ac:dyDescent="0.25"/>
  </sheetData>
  <mergeCells count="7">
    <mergeCell ref="W11:Z11"/>
    <mergeCell ref="A1:D1"/>
    <mergeCell ref="A2:D2"/>
    <mergeCell ref="A11:D11"/>
    <mergeCell ref="F11:I11"/>
    <mergeCell ref="K11:O11"/>
    <mergeCell ref="Q11:U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60</vt:i4>
      </vt:variant>
    </vt:vector>
  </HeadingPairs>
  <TitlesOfParts>
    <vt:vector size="7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Bills_1</vt:lpstr>
      <vt:lpstr>'10'!Bills_10</vt:lpstr>
      <vt:lpstr>'11'!Bills_11</vt:lpstr>
      <vt:lpstr>'12'!Bills_12</vt:lpstr>
      <vt:lpstr>'2'!Bills_2</vt:lpstr>
      <vt:lpstr>'3'!Bills_3</vt:lpstr>
      <vt:lpstr>'4'!Bills_4</vt:lpstr>
      <vt:lpstr>'5'!Bills_5</vt:lpstr>
      <vt:lpstr>'6'!Bills_6</vt:lpstr>
      <vt:lpstr>'7'!Bills_7</vt:lpstr>
      <vt:lpstr>'8'!Bills_8</vt:lpstr>
      <vt:lpstr>'9'!Bills_9</vt:lpstr>
      <vt:lpstr>Expenses_1</vt:lpstr>
      <vt:lpstr>'10'!Expenses_10</vt:lpstr>
      <vt:lpstr>'11'!Expenses_11</vt:lpstr>
      <vt:lpstr>'12'!Expenses_12</vt:lpstr>
      <vt:lpstr>'2'!Expenses_2</vt:lpstr>
      <vt:lpstr>'3'!Expenses_3</vt:lpstr>
      <vt:lpstr>'4'!Expenses_4</vt:lpstr>
      <vt:lpstr>'5'!Expenses_5</vt:lpstr>
      <vt:lpstr>'6'!Expenses_6</vt:lpstr>
      <vt:lpstr>'7'!Expenses_7</vt:lpstr>
      <vt:lpstr>'8'!Expenses_8</vt:lpstr>
      <vt:lpstr>'9'!Expenses_9</vt:lpstr>
      <vt:lpstr>Incomes_1</vt:lpstr>
      <vt:lpstr>'10'!Incomes10</vt:lpstr>
      <vt:lpstr>'11'!Incomes11</vt:lpstr>
      <vt:lpstr>'12'!Incomes12</vt:lpstr>
      <vt:lpstr>'2'!Incomes2</vt:lpstr>
      <vt:lpstr>'3'!Incomes3</vt:lpstr>
      <vt:lpstr>'4'!Incomes4</vt:lpstr>
      <vt:lpstr>'5'!Incomes5</vt:lpstr>
      <vt:lpstr>'6'!Incomes6</vt:lpstr>
      <vt:lpstr>'7'!Incomes7</vt:lpstr>
      <vt:lpstr>'8'!Incomes8</vt:lpstr>
      <vt:lpstr>'9'!Incomes9</vt:lpstr>
      <vt:lpstr>Savings_1</vt:lpstr>
      <vt:lpstr>'10'!Savings_10</vt:lpstr>
      <vt:lpstr>'11'!Savings_11</vt:lpstr>
      <vt:lpstr>'12'!Savings_12</vt:lpstr>
      <vt:lpstr>'2'!Savings_2</vt:lpstr>
      <vt:lpstr>'3'!Savings_3</vt:lpstr>
      <vt:lpstr>'4'!Savings_4</vt:lpstr>
      <vt:lpstr>'5'!Savings_5</vt:lpstr>
      <vt:lpstr>'6'!Savings_6</vt:lpstr>
      <vt:lpstr>'7'!Savings_7</vt:lpstr>
      <vt:lpstr>'8'!Savings_8</vt:lpstr>
      <vt:lpstr>'9'!Savings_9</vt:lpstr>
      <vt:lpstr>Subscriptions_1</vt:lpstr>
      <vt:lpstr>'10'!Subscriptions_10</vt:lpstr>
      <vt:lpstr>'11'!Subscriptions_11</vt:lpstr>
      <vt:lpstr>'12'!Subscriptions_12</vt:lpstr>
      <vt:lpstr>'2'!Subscriptions_2</vt:lpstr>
      <vt:lpstr>'3'!Subscriptions_3</vt:lpstr>
      <vt:lpstr>'4'!Subscriptions_4</vt:lpstr>
      <vt:lpstr>'5'!Subscriptions_5</vt:lpstr>
      <vt:lpstr>'6'!Subscriptions_6</vt:lpstr>
      <vt:lpstr>'7'!Subscriptions_7</vt:lpstr>
      <vt:lpstr>'8'!Subscriptions_8</vt:lpstr>
      <vt:lpstr>'9'!Subscriptions_9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2025-12-06T12:26:29Z</dcterms:created>
  <dcterms:modified xsi:type="dcterms:W3CDTF">2025-12-06T14:08:09Z</dcterms:modified>
</cp:coreProperties>
</file>