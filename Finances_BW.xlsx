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n-A116-11\Downloads\"/>
    </mc:Choice>
  </mc:AlternateContent>
  <xr:revisionPtr revIDLastSave="0" documentId="13_ncr:1_{CFE4E45D-921F-4AB7-8799-945121A95606}" xr6:coauthVersionLast="47" xr6:coauthVersionMax="47" xr10:uidLastSave="{00000000-0000-0000-0000-000000000000}"/>
  <bookViews>
    <workbookView xWindow="-120" yWindow="-120" windowWidth="29040" windowHeight="15840" activeTab="6" xr2:uid="{19EE711A-3283-4873-9107-9C9869A047C7}"/>
  </bookViews>
  <sheets>
    <sheet name="dictionary" sheetId="3" r:id="rId1"/>
    <sheet name="summary1" sheetId="19" r:id="rId2"/>
    <sheet name="summary2" sheetId="20" r:id="rId3"/>
    <sheet name="summary3" sheetId="21" r:id="rId4"/>
    <sheet name="operations" sheetId="2" r:id="rId5"/>
    <sheet name="flows" sheetId="22" r:id="rId6"/>
    <sheet name="1" sheetId="4" r:id="rId7"/>
    <sheet name="2" sheetId="6" r:id="rId8"/>
    <sheet name="4" sheetId="9" r:id="rId9"/>
    <sheet name="3" sheetId="7" r:id="rId10"/>
    <sheet name="5" sheetId="10" r:id="rId11"/>
    <sheet name="6" sheetId="11" r:id="rId12"/>
    <sheet name="7" sheetId="12" r:id="rId13"/>
    <sheet name="8" sheetId="13" r:id="rId14"/>
    <sheet name="9" sheetId="14" r:id="rId15"/>
    <sheet name="10" sheetId="15" r:id="rId16"/>
    <sheet name="11" sheetId="16" r:id="rId17"/>
    <sheet name="12" sheetId="18" r:id="rId18"/>
  </sheets>
  <calcPr calcId="191029"/>
  <pivotCaches>
    <pivotCache cacheId="0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8" i="2" l="1"/>
  <c r="G208" i="2"/>
  <c r="B11" i="18" a="1"/>
  <c r="B11" i="18" s="1"/>
  <c r="B11" i="16" a="1"/>
  <c r="B11" i="16" s="1"/>
  <c r="B11" i="15" a="1"/>
  <c r="B11" i="15" s="1"/>
  <c r="B11" i="14" a="1"/>
  <c r="B11" i="14" s="1"/>
  <c r="B11" i="13" a="1"/>
  <c r="B11" i="13" s="1"/>
  <c r="B11" i="12" a="1"/>
  <c r="B11" i="12" s="1"/>
  <c r="B11" i="11" a="1"/>
  <c r="B11" i="11" s="1"/>
  <c r="B11" i="10" a="1"/>
  <c r="B11" i="10" s="1"/>
  <c r="B11" i="9" a="1"/>
  <c r="B11" i="9" s="1"/>
  <c r="B11" i="7" a="1"/>
  <c r="B11" i="7" s="1"/>
  <c r="B11" i="6" a="1"/>
  <c r="B11" i="6" s="1"/>
  <c r="B11" i="4" a="1"/>
  <c r="B11" i="4" s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D7" i="22" l="1" a="1"/>
  <c r="D7" i="22" s="1"/>
  <c r="C2" i="22" a="1"/>
  <c r="C2" i="22" s="1"/>
  <c r="F4" i="22" a="1"/>
  <c r="F4" i="22" s="1"/>
  <c r="K8" i="22" a="1"/>
  <c r="K8" i="22" s="1"/>
  <c r="G8" i="22" a="1"/>
  <c r="G8" i="22" s="1"/>
  <c r="C8" i="22" a="1"/>
  <c r="C8" i="22" s="1"/>
  <c r="K7" i="22" a="1"/>
  <c r="K7" i="22" s="1"/>
  <c r="G7" i="22" a="1"/>
  <c r="G7" i="22" s="1"/>
  <c r="C7" i="22" a="1"/>
  <c r="C7" i="22" s="1"/>
  <c r="K6" i="22" a="1"/>
  <c r="K6" i="22" s="1"/>
  <c r="G6" i="22" a="1"/>
  <c r="G6" i="22" s="1"/>
  <c r="C6" i="22" a="1"/>
  <c r="C6" i="22" s="1"/>
  <c r="L5" i="22" a="1"/>
  <c r="L5" i="22" s="1"/>
  <c r="H5" i="22" a="1"/>
  <c r="H5" i="22" s="1"/>
  <c r="D5" i="22" a="1"/>
  <c r="D5" i="22" s="1"/>
  <c r="L4" i="22" a="1"/>
  <c r="L4" i="22" s="1"/>
  <c r="I4" i="22" a="1"/>
  <c r="I4" i="22" s="1"/>
  <c r="E4" i="22" a="1"/>
  <c r="E4" i="22" s="1"/>
  <c r="M3" i="22" a="1"/>
  <c r="M3" i="22" s="1"/>
  <c r="I3" i="22" a="1"/>
  <c r="I3" i="22" s="1"/>
  <c r="F3" i="22" a="1"/>
  <c r="F3" i="22" s="1"/>
  <c r="N2" i="22" a="1"/>
  <c r="N2" i="22" s="1"/>
  <c r="J2" i="22" a="1"/>
  <c r="J2" i="22" s="1"/>
  <c r="F2" i="22" a="1"/>
  <c r="F2" i="22" s="1"/>
  <c r="N8" i="22" a="1"/>
  <c r="N8" i="22" s="1"/>
  <c r="J8" i="22" a="1"/>
  <c r="J8" i="22" s="1"/>
  <c r="F8" i="22" a="1"/>
  <c r="F8" i="22" s="1"/>
  <c r="N7" i="22" a="1"/>
  <c r="N7" i="22" s="1"/>
  <c r="J7" i="22" a="1"/>
  <c r="J7" i="22" s="1"/>
  <c r="F7" i="22" a="1"/>
  <c r="F7" i="22" s="1"/>
  <c r="N6" i="22" a="1"/>
  <c r="N6" i="22" s="1"/>
  <c r="J6" i="22" a="1"/>
  <c r="J6" i="22" s="1"/>
  <c r="F6" i="22" a="1"/>
  <c r="F6" i="22" s="1"/>
  <c r="K5" i="22" a="1"/>
  <c r="K5" i="22" s="1"/>
  <c r="G5" i="22" a="1"/>
  <c r="G5" i="22" s="1"/>
  <c r="C5" i="22" a="1"/>
  <c r="C5" i="22" s="1"/>
  <c r="K4" i="22" a="1"/>
  <c r="K4" i="22" s="1"/>
  <c r="H4" i="22" a="1"/>
  <c r="H4" i="22" s="1"/>
  <c r="D4" i="22" a="1"/>
  <c r="D4" i="22" s="1"/>
  <c r="L3" i="22" a="1"/>
  <c r="L3" i="22" s="1"/>
  <c r="H3" i="22" a="1"/>
  <c r="H3" i="22" s="1"/>
  <c r="E3" i="22" a="1"/>
  <c r="E3" i="22" s="1"/>
  <c r="M2" i="22" a="1"/>
  <c r="M2" i="22" s="1"/>
  <c r="I2" i="22" a="1"/>
  <c r="I2" i="22" s="1"/>
  <c r="E2" i="22" a="1"/>
  <c r="E2" i="22" s="1"/>
  <c r="M8" i="22" a="1"/>
  <c r="M8" i="22" s="1"/>
  <c r="I8" i="22" a="1"/>
  <c r="I8" i="22" s="1"/>
  <c r="E8" i="22" a="1"/>
  <c r="E8" i="22" s="1"/>
  <c r="M7" i="22" a="1"/>
  <c r="M7" i="22" s="1"/>
  <c r="I7" i="22" a="1"/>
  <c r="I7" i="22" s="1"/>
  <c r="E7" i="22" a="1"/>
  <c r="E7" i="22" s="1"/>
  <c r="M6" i="22" a="1"/>
  <c r="M6" i="22" s="1"/>
  <c r="I6" i="22" a="1"/>
  <c r="I6" i="22" s="1"/>
  <c r="E6" i="22" a="1"/>
  <c r="E6" i="22" s="1"/>
  <c r="N5" i="22" a="1"/>
  <c r="N5" i="22" s="1"/>
  <c r="J5" i="22" a="1"/>
  <c r="J5" i="22" s="1"/>
  <c r="F5" i="22" a="1"/>
  <c r="F5" i="22" s="1"/>
  <c r="N4" i="22" a="1"/>
  <c r="N4" i="22" s="1"/>
  <c r="G4" i="22" a="1"/>
  <c r="G4" i="22" s="1"/>
  <c r="C4" i="22" a="1"/>
  <c r="C4" i="22" s="1"/>
  <c r="K3" i="22" a="1"/>
  <c r="K3" i="22" s="1"/>
  <c r="G3" i="22" a="1"/>
  <c r="G3" i="22" s="1"/>
  <c r="D3" i="22" a="1"/>
  <c r="D3" i="22" s="1"/>
  <c r="L2" i="22" a="1"/>
  <c r="L2" i="22" s="1"/>
  <c r="H2" i="22" a="1"/>
  <c r="H2" i="22" s="1"/>
  <c r="D2" i="22" a="1"/>
  <c r="D2" i="22" s="1"/>
  <c r="L8" i="22" a="1"/>
  <c r="L8" i="22" s="1"/>
  <c r="H8" i="22" a="1"/>
  <c r="H8" i="22" s="1"/>
  <c r="D8" i="22" a="1"/>
  <c r="D8" i="22" s="1"/>
  <c r="L7" i="22" a="1"/>
  <c r="L7" i="22" s="1"/>
  <c r="H7" i="22" a="1"/>
  <c r="H7" i="22" s="1"/>
  <c r="L6" i="22" a="1"/>
  <c r="L6" i="22" s="1"/>
  <c r="H6" i="22" a="1"/>
  <c r="H6" i="22" s="1"/>
  <c r="D6" i="22" a="1"/>
  <c r="D6" i="22" s="1"/>
  <c r="M5" i="22" a="1"/>
  <c r="M5" i="22" s="1"/>
  <c r="I5" i="22" a="1"/>
  <c r="I5" i="22" s="1"/>
  <c r="E5" i="22" a="1"/>
  <c r="E5" i="22" s="1"/>
  <c r="M4" i="22" a="1"/>
  <c r="M4" i="22" s="1"/>
  <c r="M9" i="22" s="1"/>
  <c r="J4" i="22" a="1"/>
  <c r="J4" i="22" s="1"/>
  <c r="N3" i="22" a="1"/>
  <c r="N3" i="22" s="1"/>
  <c r="J3" i="22" a="1"/>
  <c r="J3" i="22" s="1"/>
  <c r="J9" i="22" s="1"/>
  <c r="C3" i="22" a="1"/>
  <c r="C3" i="22" s="1"/>
  <c r="K2" i="22" a="1"/>
  <c r="K2" i="22" s="1"/>
  <c r="G2" i="22" a="1"/>
  <c r="G2" i="22" s="1"/>
  <c r="K9" i="22"/>
  <c r="C3" i="20"/>
  <c r="G6" i="20"/>
  <c r="C7" i="20"/>
  <c r="C14" i="20"/>
  <c r="I7" i="19" a="1"/>
  <c r="I7" i="19" s="1"/>
  <c r="G10" i="20"/>
  <c r="H2" i="20"/>
  <c r="G13" i="20"/>
  <c r="G4" i="20"/>
  <c r="C16" i="20"/>
  <c r="K9" i="19" a="1"/>
  <c r="K9" i="19" s="1"/>
  <c r="D14" i="19" a="1"/>
  <c r="D14" i="19" s="1"/>
  <c r="C12" i="20"/>
  <c r="C5" i="20"/>
  <c r="G17" i="20"/>
  <c r="I17" i="19" a="1"/>
  <c r="I17" i="19" s="1"/>
  <c r="G8" i="20"/>
  <c r="C6" i="19" a="1"/>
  <c r="C6" i="19" s="1"/>
  <c r="C19" i="20"/>
  <c r="C20" i="20" s="1"/>
  <c r="C9" i="20"/>
  <c r="G15" i="20"/>
  <c r="C14" i="19" a="1"/>
  <c r="C14" i="19" s="1"/>
  <c r="K17" i="19" a="1"/>
  <c r="K17" i="19" s="1"/>
  <c r="N16" i="19" a="1"/>
  <c r="N16" i="19" s="1"/>
  <c r="F16" i="19" a="1"/>
  <c r="F16" i="19" s="1"/>
  <c r="I15" i="19" a="1"/>
  <c r="I15" i="19" s="1"/>
  <c r="L14" i="19" a="1"/>
  <c r="L14" i="19" s="1"/>
  <c r="G13" i="19" a="1"/>
  <c r="G13" i="19" s="1"/>
  <c r="J12" i="19" a="1"/>
  <c r="J12" i="19" s="1"/>
  <c r="M11" i="19" a="1"/>
  <c r="M11" i="19" s="1"/>
  <c r="E11" i="19" a="1"/>
  <c r="E11" i="19" s="1"/>
  <c r="H10" i="19" a="1"/>
  <c r="H10" i="19" s="1"/>
  <c r="N8" i="19" a="1"/>
  <c r="N8" i="19" s="1"/>
  <c r="F8" i="19" a="1"/>
  <c r="F8" i="19" s="1"/>
  <c r="L6" i="19" a="1"/>
  <c r="L6" i="19" s="1"/>
  <c r="D6" i="19" a="1"/>
  <c r="D6" i="19" s="1"/>
  <c r="G5" i="19" a="1"/>
  <c r="G5" i="19" s="1"/>
  <c r="J4" i="19" a="1"/>
  <c r="J4" i="19" s="1"/>
  <c r="M3" i="19" a="1"/>
  <c r="M3" i="19" s="1"/>
  <c r="E3" i="19" a="1"/>
  <c r="E3" i="19" s="1"/>
  <c r="H2" i="19" a="1"/>
  <c r="H2" i="19" s="1"/>
  <c r="C2" i="20"/>
  <c r="G2" i="20"/>
  <c r="J19" i="20"/>
  <c r="J20" i="20" s="1"/>
  <c r="N17" i="20"/>
  <c r="F17" i="20"/>
  <c r="J16" i="20"/>
  <c r="N15" i="20"/>
  <c r="F15" i="20"/>
  <c r="J14" i="20"/>
  <c r="N13" i="20"/>
  <c r="F13" i="20"/>
  <c r="J12" i="20"/>
  <c r="N10" i="20"/>
  <c r="F10" i="20"/>
  <c r="J9" i="20"/>
  <c r="N8" i="20"/>
  <c r="F8" i="20"/>
  <c r="J7" i="20"/>
  <c r="N6" i="20"/>
  <c r="F6" i="20"/>
  <c r="J5" i="20"/>
  <c r="N4" i="20"/>
  <c r="F4" i="20"/>
  <c r="J3" i="20"/>
  <c r="H2" i="6"/>
  <c r="C13" i="19" a="1"/>
  <c r="C13" i="19" s="1"/>
  <c r="J17" i="19" a="1"/>
  <c r="J17" i="19" s="1"/>
  <c r="M16" i="19" a="1"/>
  <c r="M16" i="19" s="1"/>
  <c r="E16" i="19" a="1"/>
  <c r="E16" i="19" s="1"/>
  <c r="H15" i="19" a="1"/>
  <c r="H15" i="19" s="1"/>
  <c r="K14" i="19" a="1"/>
  <c r="K14" i="19" s="1"/>
  <c r="N13" i="19" a="1"/>
  <c r="N13" i="19" s="1"/>
  <c r="F13" i="19" a="1"/>
  <c r="F13" i="19" s="1"/>
  <c r="I12" i="19" a="1"/>
  <c r="I12" i="19" s="1"/>
  <c r="L11" i="19" a="1"/>
  <c r="L11" i="19" s="1"/>
  <c r="D11" i="19" a="1"/>
  <c r="D11" i="19" s="1"/>
  <c r="G10" i="19" a="1"/>
  <c r="G10" i="19" s="1"/>
  <c r="J9" i="19" a="1"/>
  <c r="J9" i="19" s="1"/>
  <c r="M8" i="19" a="1"/>
  <c r="M8" i="19" s="1"/>
  <c r="E8" i="19" a="1"/>
  <c r="E8" i="19" s="1"/>
  <c r="H7" i="19" a="1"/>
  <c r="H7" i="19" s="1"/>
  <c r="K6" i="19" a="1"/>
  <c r="K6" i="19" s="1"/>
  <c r="N5" i="19" a="1"/>
  <c r="N5" i="19" s="1"/>
  <c r="F5" i="19" a="1"/>
  <c r="F5" i="19" s="1"/>
  <c r="I4" i="19" a="1"/>
  <c r="I4" i="19" s="1"/>
  <c r="L3" i="19" a="1"/>
  <c r="L3" i="19" s="1"/>
  <c r="D3" i="19" a="1"/>
  <c r="D3" i="19" s="1"/>
  <c r="G2" i="19" a="1"/>
  <c r="G2" i="19" s="1"/>
  <c r="N2" i="20"/>
  <c r="F2" i="20"/>
  <c r="I19" i="20"/>
  <c r="I20" i="20" s="1"/>
  <c r="M17" i="20"/>
  <c r="E17" i="20"/>
  <c r="I16" i="20"/>
  <c r="M15" i="20"/>
  <c r="E15" i="20"/>
  <c r="I14" i="20"/>
  <c r="M13" i="20"/>
  <c r="E13" i="20"/>
  <c r="I12" i="20"/>
  <c r="M10" i="20"/>
  <c r="E10" i="20"/>
  <c r="I9" i="20"/>
  <c r="M8" i="20"/>
  <c r="E8" i="20"/>
  <c r="I7" i="20"/>
  <c r="M6" i="20"/>
  <c r="E6" i="20"/>
  <c r="I5" i="20"/>
  <c r="M4" i="20"/>
  <c r="E4" i="20"/>
  <c r="I3" i="20"/>
  <c r="C12" i="19" a="1"/>
  <c r="C12" i="19" s="1"/>
  <c r="C5" i="19" a="1"/>
  <c r="C5" i="19" s="1"/>
  <c r="D16" i="19" a="1"/>
  <c r="D16" i="19" s="1"/>
  <c r="G15" i="19" a="1"/>
  <c r="G15" i="19" s="1"/>
  <c r="J14" i="19" a="1"/>
  <c r="J14" i="19" s="1"/>
  <c r="M13" i="19" a="1"/>
  <c r="M13" i="19" s="1"/>
  <c r="E13" i="19" a="1"/>
  <c r="E13" i="19" s="1"/>
  <c r="H12" i="19" a="1"/>
  <c r="H12" i="19" s="1"/>
  <c r="K11" i="19" a="1"/>
  <c r="K11" i="19" s="1"/>
  <c r="N10" i="19" a="1"/>
  <c r="N10" i="19" s="1"/>
  <c r="F10" i="19" a="1"/>
  <c r="F10" i="19" s="1"/>
  <c r="I9" i="19" a="1"/>
  <c r="I9" i="19" s="1"/>
  <c r="L8" i="19" a="1"/>
  <c r="L8" i="19" s="1"/>
  <c r="D8" i="19" a="1"/>
  <c r="D8" i="19" s="1"/>
  <c r="G7" i="19" a="1"/>
  <c r="G7" i="19" s="1"/>
  <c r="J6" i="19" a="1"/>
  <c r="J6" i="19" s="1"/>
  <c r="M5" i="19" a="1"/>
  <c r="M5" i="19" s="1"/>
  <c r="E5" i="19" a="1"/>
  <c r="E5" i="19" s="1"/>
  <c r="H4" i="19" a="1"/>
  <c r="H4" i="19" s="1"/>
  <c r="K3" i="19" a="1"/>
  <c r="K3" i="19" s="1"/>
  <c r="N2" i="19" a="1"/>
  <c r="N2" i="19" s="1"/>
  <c r="F2" i="19" a="1"/>
  <c r="F2" i="19" s="1"/>
  <c r="M2" i="20"/>
  <c r="E2" i="20"/>
  <c r="H19" i="20"/>
  <c r="H20" i="20" s="1"/>
  <c r="L17" i="20"/>
  <c r="D17" i="20"/>
  <c r="H16" i="20"/>
  <c r="L15" i="20"/>
  <c r="D15" i="20"/>
  <c r="H14" i="20"/>
  <c r="L13" i="20"/>
  <c r="D13" i="20"/>
  <c r="H12" i="20"/>
  <c r="L10" i="20"/>
  <c r="D10" i="20"/>
  <c r="H9" i="20"/>
  <c r="L8" i="20"/>
  <c r="D8" i="20"/>
  <c r="H7" i="20"/>
  <c r="L6" i="20"/>
  <c r="D6" i="20"/>
  <c r="H5" i="20"/>
  <c r="L4" i="20"/>
  <c r="D4" i="20"/>
  <c r="H3" i="20"/>
  <c r="L16" i="19" a="1"/>
  <c r="L16" i="19" s="1"/>
  <c r="C11" i="19" a="1"/>
  <c r="C11" i="19" s="1"/>
  <c r="C4" i="19" a="1"/>
  <c r="C4" i="19" s="1"/>
  <c r="H17" i="19" a="1"/>
  <c r="H17" i="19" s="1"/>
  <c r="K16" i="19" a="1"/>
  <c r="K16" i="19" s="1"/>
  <c r="N15" i="19" a="1"/>
  <c r="N15" i="19" s="1"/>
  <c r="F15" i="19" a="1"/>
  <c r="F15" i="19" s="1"/>
  <c r="I14" i="19" a="1"/>
  <c r="I14" i="19" s="1"/>
  <c r="L13" i="19" a="1"/>
  <c r="L13" i="19" s="1"/>
  <c r="D13" i="19" a="1"/>
  <c r="D13" i="19" s="1"/>
  <c r="G12" i="19" a="1"/>
  <c r="G12" i="19" s="1"/>
  <c r="J11" i="19" a="1"/>
  <c r="J11" i="19" s="1"/>
  <c r="M10" i="19" a="1"/>
  <c r="M10" i="19" s="1"/>
  <c r="E10" i="19" a="1"/>
  <c r="E10" i="19" s="1"/>
  <c r="H9" i="19" a="1"/>
  <c r="H9" i="19" s="1"/>
  <c r="K8" i="19" a="1"/>
  <c r="K8" i="19" s="1"/>
  <c r="N7" i="19" a="1"/>
  <c r="N7" i="19" s="1"/>
  <c r="F7" i="19" a="1"/>
  <c r="F7" i="19" s="1"/>
  <c r="I6" i="19" a="1"/>
  <c r="I6" i="19" s="1"/>
  <c r="L5" i="19" a="1"/>
  <c r="L5" i="19" s="1"/>
  <c r="D5" i="19" a="1"/>
  <c r="D5" i="19" s="1"/>
  <c r="G4" i="19" a="1"/>
  <c r="G4" i="19" s="1"/>
  <c r="J3" i="19" a="1"/>
  <c r="J3" i="19" s="1"/>
  <c r="M2" i="19" a="1"/>
  <c r="M2" i="19" s="1"/>
  <c r="E2" i="19" a="1"/>
  <c r="E2" i="19" s="1"/>
  <c r="L2" i="20"/>
  <c r="D2" i="20"/>
  <c r="G19" i="20"/>
  <c r="G20" i="20" s="1"/>
  <c r="K17" i="20"/>
  <c r="C17" i="20"/>
  <c r="G16" i="20"/>
  <c r="K15" i="20"/>
  <c r="C15" i="20"/>
  <c r="G14" i="20"/>
  <c r="K13" i="20"/>
  <c r="C13" i="20"/>
  <c r="G12" i="20"/>
  <c r="K10" i="20"/>
  <c r="C10" i="20"/>
  <c r="G9" i="20"/>
  <c r="K8" i="20"/>
  <c r="C8" i="20"/>
  <c r="G7" i="20"/>
  <c r="K6" i="20"/>
  <c r="C6" i="20"/>
  <c r="G5" i="20"/>
  <c r="K4" i="20"/>
  <c r="C4" i="20"/>
  <c r="G3" i="20"/>
  <c r="C2" i="19" a="1"/>
  <c r="C2" i="19" s="1"/>
  <c r="C10" i="19" a="1"/>
  <c r="C10" i="19" s="1"/>
  <c r="C3" i="19" a="1"/>
  <c r="C3" i="19" s="1"/>
  <c r="G17" i="19" a="1"/>
  <c r="G17" i="19" s="1"/>
  <c r="J16" i="19" a="1"/>
  <c r="J16" i="19" s="1"/>
  <c r="M15" i="19" a="1"/>
  <c r="M15" i="19" s="1"/>
  <c r="E15" i="19" a="1"/>
  <c r="E15" i="19" s="1"/>
  <c r="H14" i="19" a="1"/>
  <c r="H14" i="19" s="1"/>
  <c r="K13" i="19" a="1"/>
  <c r="K13" i="19" s="1"/>
  <c r="N12" i="19" a="1"/>
  <c r="N12" i="19" s="1"/>
  <c r="F12" i="19" a="1"/>
  <c r="F12" i="19" s="1"/>
  <c r="I11" i="19" a="1"/>
  <c r="I11" i="19" s="1"/>
  <c r="L10" i="19" a="1"/>
  <c r="L10" i="19" s="1"/>
  <c r="D10" i="19" a="1"/>
  <c r="D10" i="19" s="1"/>
  <c r="G9" i="19" a="1"/>
  <c r="G9" i="19" s="1"/>
  <c r="J8" i="19" a="1"/>
  <c r="J8" i="19" s="1"/>
  <c r="M7" i="19" a="1"/>
  <c r="M7" i="19" s="1"/>
  <c r="E7" i="19" a="1"/>
  <c r="E7" i="19" s="1"/>
  <c r="H6" i="19" a="1"/>
  <c r="H6" i="19" s="1"/>
  <c r="K5" i="19" a="1"/>
  <c r="K5" i="19" s="1"/>
  <c r="N4" i="19" a="1"/>
  <c r="N4" i="19" s="1"/>
  <c r="F4" i="19" a="1"/>
  <c r="F4" i="19" s="1"/>
  <c r="I3" i="19" a="1"/>
  <c r="I3" i="19" s="1"/>
  <c r="L2" i="19" a="1"/>
  <c r="L2" i="19" s="1"/>
  <c r="D2" i="19" a="1"/>
  <c r="D2" i="19" s="1"/>
  <c r="K2" i="20"/>
  <c r="N19" i="20"/>
  <c r="N20" i="20" s="1"/>
  <c r="F19" i="20"/>
  <c r="F20" i="20" s="1"/>
  <c r="J17" i="20"/>
  <c r="N16" i="20"/>
  <c r="F16" i="20"/>
  <c r="J15" i="20"/>
  <c r="N14" i="20"/>
  <c r="F14" i="20"/>
  <c r="J13" i="20"/>
  <c r="N12" i="20"/>
  <c r="F12" i="20"/>
  <c r="J10" i="20"/>
  <c r="N9" i="20"/>
  <c r="F9" i="20"/>
  <c r="J8" i="20"/>
  <c r="N7" i="20"/>
  <c r="F7" i="20"/>
  <c r="J6" i="20"/>
  <c r="N5" i="20"/>
  <c r="F5" i="20"/>
  <c r="J4" i="20"/>
  <c r="N3" i="20"/>
  <c r="F3" i="20"/>
  <c r="C17" i="19" a="1"/>
  <c r="C17" i="19" s="1"/>
  <c r="C9" i="19" a="1"/>
  <c r="C9" i="19" s="1"/>
  <c r="N17" i="19" a="1"/>
  <c r="N17" i="19" s="1"/>
  <c r="F17" i="19" a="1"/>
  <c r="F17" i="19" s="1"/>
  <c r="I16" i="19" a="1"/>
  <c r="I16" i="19" s="1"/>
  <c r="L15" i="19" a="1"/>
  <c r="L15" i="19" s="1"/>
  <c r="D15" i="19" a="1"/>
  <c r="D15" i="19" s="1"/>
  <c r="G14" i="19" a="1"/>
  <c r="G14" i="19" s="1"/>
  <c r="J13" i="19" a="1"/>
  <c r="J13" i="19" s="1"/>
  <c r="M12" i="19" a="1"/>
  <c r="M12" i="19" s="1"/>
  <c r="E12" i="19" a="1"/>
  <c r="E12" i="19" s="1"/>
  <c r="H11" i="19" a="1"/>
  <c r="H11" i="19" s="1"/>
  <c r="K10" i="19" a="1"/>
  <c r="K10" i="19" s="1"/>
  <c r="N9" i="19" a="1"/>
  <c r="N9" i="19" s="1"/>
  <c r="F9" i="19" a="1"/>
  <c r="F9" i="19" s="1"/>
  <c r="I8" i="19" a="1"/>
  <c r="I8" i="19" s="1"/>
  <c r="L7" i="19" a="1"/>
  <c r="L7" i="19" s="1"/>
  <c r="D7" i="19" a="1"/>
  <c r="D7" i="19" s="1"/>
  <c r="G6" i="19" a="1"/>
  <c r="G6" i="19" s="1"/>
  <c r="J5" i="19" a="1"/>
  <c r="J5" i="19" s="1"/>
  <c r="M4" i="19" a="1"/>
  <c r="M4" i="19" s="1"/>
  <c r="E4" i="19" a="1"/>
  <c r="E4" i="19" s="1"/>
  <c r="H3" i="19" a="1"/>
  <c r="H3" i="19" s="1"/>
  <c r="K2" i="19" a="1"/>
  <c r="K2" i="19" s="1"/>
  <c r="J2" i="20"/>
  <c r="M19" i="20"/>
  <c r="M20" i="20" s="1"/>
  <c r="E19" i="20"/>
  <c r="E20" i="20" s="1"/>
  <c r="I17" i="20"/>
  <c r="M16" i="20"/>
  <c r="E16" i="20"/>
  <c r="I15" i="20"/>
  <c r="M14" i="20"/>
  <c r="E14" i="20"/>
  <c r="I13" i="20"/>
  <c r="M12" i="20"/>
  <c r="E12" i="20"/>
  <c r="I10" i="20"/>
  <c r="M9" i="20"/>
  <c r="E9" i="20"/>
  <c r="I8" i="20"/>
  <c r="M7" i="20"/>
  <c r="E7" i="20"/>
  <c r="I6" i="20"/>
  <c r="M5" i="20"/>
  <c r="E5" i="20"/>
  <c r="I4" i="20"/>
  <c r="M3" i="20"/>
  <c r="E3" i="20"/>
  <c r="C16" i="19" a="1"/>
  <c r="C16" i="19" s="1"/>
  <c r="C8" i="19" a="1"/>
  <c r="C8" i="19" s="1"/>
  <c r="M17" i="19" a="1"/>
  <c r="M17" i="19" s="1"/>
  <c r="E17" i="19" a="1"/>
  <c r="E17" i="19" s="1"/>
  <c r="H16" i="19" a="1"/>
  <c r="H16" i="19" s="1"/>
  <c r="K15" i="19" a="1"/>
  <c r="K15" i="19" s="1"/>
  <c r="N14" i="19" a="1"/>
  <c r="N14" i="19" s="1"/>
  <c r="F14" i="19" a="1"/>
  <c r="F14" i="19" s="1"/>
  <c r="I13" i="19" a="1"/>
  <c r="I13" i="19" s="1"/>
  <c r="L12" i="19" a="1"/>
  <c r="L12" i="19" s="1"/>
  <c r="D12" i="19" a="1"/>
  <c r="D12" i="19" s="1"/>
  <c r="G11" i="19" a="1"/>
  <c r="G11" i="19" s="1"/>
  <c r="J10" i="19" a="1"/>
  <c r="J10" i="19" s="1"/>
  <c r="M9" i="19" a="1"/>
  <c r="M9" i="19" s="1"/>
  <c r="E9" i="19" a="1"/>
  <c r="E9" i="19" s="1"/>
  <c r="H8" i="19" a="1"/>
  <c r="H8" i="19" s="1"/>
  <c r="K7" i="19" a="1"/>
  <c r="K7" i="19" s="1"/>
  <c r="N6" i="19" a="1"/>
  <c r="N6" i="19" s="1"/>
  <c r="F6" i="19" a="1"/>
  <c r="F6" i="19" s="1"/>
  <c r="I5" i="19" a="1"/>
  <c r="I5" i="19" s="1"/>
  <c r="L4" i="19" a="1"/>
  <c r="L4" i="19" s="1"/>
  <c r="D4" i="19" a="1"/>
  <c r="D4" i="19" s="1"/>
  <c r="G3" i="19" a="1"/>
  <c r="G3" i="19" s="1"/>
  <c r="J2" i="19" a="1"/>
  <c r="J2" i="19" s="1"/>
  <c r="I2" i="20"/>
  <c r="L19" i="20"/>
  <c r="L20" i="20" s="1"/>
  <c r="D19" i="20"/>
  <c r="D20" i="20" s="1"/>
  <c r="H17" i="20"/>
  <c r="L16" i="20"/>
  <c r="D16" i="20"/>
  <c r="H15" i="20"/>
  <c r="L14" i="20"/>
  <c r="D14" i="20"/>
  <c r="H13" i="20"/>
  <c r="L12" i="20"/>
  <c r="D12" i="20"/>
  <c r="H10" i="20"/>
  <c r="L9" i="20"/>
  <c r="D9" i="20"/>
  <c r="H8" i="20"/>
  <c r="L7" i="20"/>
  <c r="D7" i="20"/>
  <c r="H6" i="20"/>
  <c r="L5" i="20"/>
  <c r="D5" i="20"/>
  <c r="H4" i="20"/>
  <c r="L3" i="20"/>
  <c r="D3" i="20"/>
  <c r="C15" i="19" a="1"/>
  <c r="C15" i="19" s="1"/>
  <c r="C7" i="19" a="1"/>
  <c r="C7" i="19" s="1"/>
  <c r="L17" i="19" a="1"/>
  <c r="L17" i="19" s="1"/>
  <c r="D17" i="19" a="1"/>
  <c r="D17" i="19" s="1"/>
  <c r="G16" i="19" a="1"/>
  <c r="G16" i="19" s="1"/>
  <c r="J15" i="19" a="1"/>
  <c r="J15" i="19" s="1"/>
  <c r="M14" i="19" a="1"/>
  <c r="M14" i="19" s="1"/>
  <c r="E14" i="19" a="1"/>
  <c r="E14" i="19" s="1"/>
  <c r="H13" i="19" a="1"/>
  <c r="H13" i="19" s="1"/>
  <c r="K12" i="19" a="1"/>
  <c r="K12" i="19" s="1"/>
  <c r="N11" i="19" a="1"/>
  <c r="N11" i="19" s="1"/>
  <c r="F11" i="19" a="1"/>
  <c r="F11" i="19" s="1"/>
  <c r="I10" i="19" a="1"/>
  <c r="I10" i="19" s="1"/>
  <c r="L9" i="19" a="1"/>
  <c r="L9" i="19" s="1"/>
  <c r="D9" i="19" a="1"/>
  <c r="D9" i="19" s="1"/>
  <c r="G8" i="19" a="1"/>
  <c r="G8" i="19" s="1"/>
  <c r="J7" i="19" a="1"/>
  <c r="J7" i="19" s="1"/>
  <c r="M6" i="19" a="1"/>
  <c r="M6" i="19" s="1"/>
  <c r="E6" i="19" a="1"/>
  <c r="E6" i="19" s="1"/>
  <c r="H5" i="19" a="1"/>
  <c r="H5" i="19" s="1"/>
  <c r="K4" i="19" a="1"/>
  <c r="K4" i="19" s="1"/>
  <c r="N3" i="19" a="1"/>
  <c r="N3" i="19" s="1"/>
  <c r="F3" i="19" a="1"/>
  <c r="F3" i="19" s="1"/>
  <c r="I2" i="19" a="1"/>
  <c r="I2" i="19" s="1"/>
  <c r="K19" i="20"/>
  <c r="K20" i="20" s="1"/>
  <c r="K16" i="20"/>
  <c r="K14" i="20"/>
  <c r="K12" i="20"/>
  <c r="K9" i="20"/>
  <c r="K7" i="20"/>
  <c r="K5" i="20"/>
  <c r="K3" i="20"/>
  <c r="K9" i="18"/>
  <c r="K6" i="18"/>
  <c r="K2" i="18"/>
  <c r="D7" i="18"/>
  <c r="D3" i="18"/>
  <c r="B16" i="18"/>
  <c r="H6" i="18"/>
  <c r="D5" i="18"/>
  <c r="H2" i="18"/>
  <c r="B15" i="18"/>
  <c r="K7" i="18"/>
  <c r="K3" i="18"/>
  <c r="K8" i="18"/>
  <c r="K4" i="18"/>
  <c r="K5" i="18"/>
  <c r="H5" i="18"/>
  <c r="B14" i="18"/>
  <c r="H7" i="18"/>
  <c r="D6" i="18"/>
  <c r="H3" i="18"/>
  <c r="D2" i="18"/>
  <c r="H4" i="18"/>
  <c r="K10" i="18"/>
  <c r="D8" i="18"/>
  <c r="D4" i="18"/>
  <c r="K9" i="16"/>
  <c r="K6" i="16"/>
  <c r="K2" i="16"/>
  <c r="B16" i="16"/>
  <c r="H6" i="16"/>
  <c r="D5" i="16"/>
  <c r="H2" i="16"/>
  <c r="K10" i="16"/>
  <c r="H5" i="16"/>
  <c r="B15" i="16"/>
  <c r="K7" i="16"/>
  <c r="K3" i="16"/>
  <c r="D7" i="16"/>
  <c r="B14" i="16"/>
  <c r="H7" i="16"/>
  <c r="D6" i="16"/>
  <c r="H3" i="16"/>
  <c r="D2" i="16"/>
  <c r="H4" i="16"/>
  <c r="D3" i="16"/>
  <c r="D8" i="16"/>
  <c r="D4" i="16"/>
  <c r="K8" i="16"/>
  <c r="K4" i="16"/>
  <c r="K5" i="16"/>
  <c r="K9" i="15"/>
  <c r="K6" i="15"/>
  <c r="K2" i="15"/>
  <c r="H4" i="15"/>
  <c r="B16" i="15"/>
  <c r="H6" i="15"/>
  <c r="D5" i="15"/>
  <c r="H2" i="15"/>
  <c r="K10" i="15"/>
  <c r="H5" i="15"/>
  <c r="B15" i="15"/>
  <c r="K7" i="15"/>
  <c r="K3" i="15"/>
  <c r="D7" i="15"/>
  <c r="K5" i="15"/>
  <c r="B14" i="15"/>
  <c r="H7" i="15"/>
  <c r="D6" i="15"/>
  <c r="H3" i="15"/>
  <c r="D2" i="15"/>
  <c r="K8" i="15"/>
  <c r="K4" i="15"/>
  <c r="D3" i="15"/>
  <c r="D8" i="15"/>
  <c r="D4" i="15"/>
  <c r="K9" i="14"/>
  <c r="K10" i="14"/>
  <c r="D8" i="14"/>
  <c r="H5" i="14"/>
  <c r="D4" i="14"/>
  <c r="K5" i="14"/>
  <c r="H4" i="14"/>
  <c r="K4" i="14"/>
  <c r="K8" i="14"/>
  <c r="D2" i="14"/>
  <c r="H3" i="14"/>
  <c r="D6" i="14"/>
  <c r="H7" i="14"/>
  <c r="B14" i="14"/>
  <c r="K3" i="14"/>
  <c r="K7" i="14"/>
  <c r="B15" i="14"/>
  <c r="D3" i="14"/>
  <c r="D7" i="14"/>
  <c r="H2" i="14"/>
  <c r="D5" i="14"/>
  <c r="H6" i="14"/>
  <c r="B16" i="14"/>
  <c r="K2" i="14"/>
  <c r="K6" i="14"/>
  <c r="K9" i="13"/>
  <c r="K6" i="13"/>
  <c r="K2" i="13"/>
  <c r="D8" i="13"/>
  <c r="H5" i="13"/>
  <c r="B16" i="13"/>
  <c r="H6" i="13"/>
  <c r="D5" i="13"/>
  <c r="H2" i="13"/>
  <c r="B15" i="13"/>
  <c r="K7" i="13"/>
  <c r="K3" i="13"/>
  <c r="K5" i="13"/>
  <c r="K10" i="13"/>
  <c r="D4" i="13"/>
  <c r="B14" i="13"/>
  <c r="H7" i="13"/>
  <c r="D6" i="13"/>
  <c r="H3" i="13"/>
  <c r="D2" i="13"/>
  <c r="K8" i="13"/>
  <c r="K4" i="13"/>
  <c r="D7" i="13"/>
  <c r="H4" i="13"/>
  <c r="D3" i="13"/>
  <c r="K9" i="12"/>
  <c r="K6" i="12"/>
  <c r="K2" i="12"/>
  <c r="K5" i="12"/>
  <c r="B16" i="12"/>
  <c r="H6" i="12"/>
  <c r="D5" i="12"/>
  <c r="H2" i="12"/>
  <c r="B15" i="12"/>
  <c r="K7" i="12"/>
  <c r="K3" i="12"/>
  <c r="D8" i="12"/>
  <c r="B14" i="12"/>
  <c r="H7" i="12"/>
  <c r="D6" i="12"/>
  <c r="H3" i="12"/>
  <c r="D2" i="12"/>
  <c r="K8" i="12"/>
  <c r="K4" i="12"/>
  <c r="D7" i="12"/>
  <c r="H4" i="12"/>
  <c r="D3" i="12"/>
  <c r="K10" i="12"/>
  <c r="H5" i="12"/>
  <c r="D4" i="12"/>
  <c r="K9" i="11"/>
  <c r="K6" i="11"/>
  <c r="K2" i="11"/>
  <c r="D8" i="11"/>
  <c r="B16" i="11"/>
  <c r="H6" i="11"/>
  <c r="D5" i="11"/>
  <c r="H2" i="11"/>
  <c r="K7" i="11"/>
  <c r="K3" i="11"/>
  <c r="D6" i="11"/>
  <c r="H3" i="11"/>
  <c r="D2" i="11"/>
  <c r="B15" i="11"/>
  <c r="B14" i="11"/>
  <c r="H7" i="11"/>
  <c r="H5" i="11"/>
  <c r="K8" i="11"/>
  <c r="K4" i="11"/>
  <c r="D7" i="11"/>
  <c r="H4" i="11"/>
  <c r="D3" i="11"/>
  <c r="K5" i="11"/>
  <c r="K10" i="11"/>
  <c r="D4" i="11"/>
  <c r="K9" i="10"/>
  <c r="K6" i="10"/>
  <c r="K2" i="10"/>
  <c r="D7" i="10"/>
  <c r="H4" i="10"/>
  <c r="K5" i="10"/>
  <c r="B16" i="10"/>
  <c r="H6" i="10"/>
  <c r="D5" i="10"/>
  <c r="H2" i="10"/>
  <c r="B14" i="10"/>
  <c r="H7" i="10"/>
  <c r="D6" i="10"/>
  <c r="H3" i="10"/>
  <c r="D2" i="10"/>
  <c r="K10" i="10"/>
  <c r="H5" i="10"/>
  <c r="B15" i="10"/>
  <c r="K7" i="10"/>
  <c r="K3" i="10"/>
  <c r="K8" i="10"/>
  <c r="K4" i="10"/>
  <c r="D3" i="10"/>
  <c r="D8" i="10"/>
  <c r="D4" i="10"/>
  <c r="B16" i="9"/>
  <c r="H6" i="9"/>
  <c r="D5" i="9"/>
  <c r="H2" i="9"/>
  <c r="B15" i="9"/>
  <c r="K7" i="9"/>
  <c r="K3" i="9"/>
  <c r="B14" i="9"/>
  <c r="H7" i="9"/>
  <c r="D6" i="9"/>
  <c r="H3" i="9"/>
  <c r="D2" i="9"/>
  <c r="K8" i="9"/>
  <c r="K4" i="9"/>
  <c r="D7" i="9"/>
  <c r="H4" i="9"/>
  <c r="D3" i="9"/>
  <c r="K5" i="9"/>
  <c r="K10" i="9"/>
  <c r="D8" i="9"/>
  <c r="H5" i="9"/>
  <c r="D4" i="9"/>
  <c r="K9" i="9"/>
  <c r="K6" i="9"/>
  <c r="K2" i="9"/>
  <c r="B16" i="7"/>
  <c r="H6" i="7"/>
  <c r="D5" i="7"/>
  <c r="H2" i="7"/>
  <c r="B15" i="7"/>
  <c r="K7" i="7"/>
  <c r="K3" i="7"/>
  <c r="B14" i="7"/>
  <c r="H7" i="7"/>
  <c r="D6" i="7"/>
  <c r="H3" i="7"/>
  <c r="D2" i="7"/>
  <c r="H5" i="7"/>
  <c r="K8" i="7"/>
  <c r="K4" i="7"/>
  <c r="K5" i="7"/>
  <c r="K10" i="7"/>
  <c r="D4" i="7"/>
  <c r="K6" i="7"/>
  <c r="K2" i="7"/>
  <c r="D7" i="7"/>
  <c r="H4" i="7"/>
  <c r="D3" i="7"/>
  <c r="D8" i="7"/>
  <c r="K9" i="7"/>
  <c r="K7" i="6"/>
  <c r="K9" i="6"/>
  <c r="K8" i="6"/>
  <c r="K6" i="6"/>
  <c r="K5" i="6"/>
  <c r="K4" i="6"/>
  <c r="K3" i="6"/>
  <c r="K10" i="6"/>
  <c r="K2" i="6"/>
  <c r="H7" i="6"/>
  <c r="H6" i="6"/>
  <c r="H5" i="6"/>
  <c r="H4" i="6"/>
  <c r="H3" i="6"/>
  <c r="H2" i="4"/>
  <c r="H7" i="4"/>
  <c r="H3" i="4"/>
  <c r="H6" i="4"/>
  <c r="H4" i="4"/>
  <c r="H5" i="4"/>
  <c r="K7" i="4"/>
  <c r="K5" i="4"/>
  <c r="K8" i="4"/>
  <c r="K2" i="4"/>
  <c r="K4" i="4"/>
  <c r="K9" i="4"/>
  <c r="K10" i="4"/>
  <c r="K3" i="4"/>
  <c r="K6" i="4"/>
  <c r="D2" i="4"/>
  <c r="D4" i="6"/>
  <c r="B16" i="6"/>
  <c r="B15" i="6"/>
  <c r="D8" i="6"/>
  <c r="D2" i="6"/>
  <c r="B14" i="6"/>
  <c r="D7" i="6"/>
  <c r="D5" i="6"/>
  <c r="D3" i="6"/>
  <c r="D6" i="6"/>
  <c r="B15" i="4"/>
  <c r="B14" i="4"/>
  <c r="B16" i="4"/>
  <c r="D8" i="4"/>
  <c r="D7" i="4"/>
  <c r="D6" i="4"/>
  <c r="D5" i="4"/>
  <c r="D4" i="4"/>
  <c r="E4" i="4" s="1"/>
  <c r="D3" i="4"/>
  <c r="C4" i="6" a="1"/>
  <c r="F9" i="22" l="1"/>
  <c r="G9" i="22"/>
  <c r="C9" i="22"/>
  <c r="I9" i="22"/>
  <c r="L9" i="22"/>
  <c r="D9" i="22"/>
  <c r="E9" i="22"/>
  <c r="H9" i="22"/>
  <c r="N9" i="22"/>
  <c r="I18" i="20"/>
  <c r="J18" i="20"/>
  <c r="G11" i="20"/>
  <c r="D11" i="20"/>
  <c r="H18" i="20"/>
  <c r="H11" i="20"/>
  <c r="H21" i="20" s="1"/>
  <c r="K18" i="20"/>
  <c r="L18" i="20"/>
  <c r="M18" i="20"/>
  <c r="N18" i="20"/>
  <c r="C11" i="20"/>
  <c r="G18" i="20"/>
  <c r="L11" i="20"/>
  <c r="D18" i="20"/>
  <c r="M11" i="20"/>
  <c r="E18" i="20"/>
  <c r="N18" i="19"/>
  <c r="N11" i="20"/>
  <c r="N21" i="20" s="1"/>
  <c r="F18" i="20"/>
  <c r="E11" i="20"/>
  <c r="C18" i="20"/>
  <c r="F11" i="20"/>
  <c r="J11" i="20"/>
  <c r="K11" i="20"/>
  <c r="I11" i="20"/>
  <c r="I21" i="20" s="1"/>
  <c r="I18" i="19"/>
  <c r="J18" i="19"/>
  <c r="K18" i="19"/>
  <c r="D18" i="19"/>
  <c r="C18" i="19"/>
  <c r="G18" i="19"/>
  <c r="H18" i="19"/>
  <c r="L18" i="19"/>
  <c r="E18" i="19"/>
  <c r="M18" i="19"/>
  <c r="F18" i="19"/>
  <c r="M21" i="20"/>
  <c r="B17" i="18"/>
  <c r="K11" i="18"/>
  <c r="H8" i="18"/>
  <c r="D9" i="18"/>
  <c r="D9" i="16"/>
  <c r="B17" i="16"/>
  <c r="K11" i="16"/>
  <c r="H8" i="16"/>
  <c r="B17" i="15"/>
  <c r="K11" i="15"/>
  <c r="D9" i="15"/>
  <c r="H8" i="15"/>
  <c r="D9" i="14"/>
  <c r="H8" i="14"/>
  <c r="K11" i="14"/>
  <c r="B17" i="14"/>
  <c r="B17" i="12"/>
  <c r="B17" i="13"/>
  <c r="H8" i="13"/>
  <c r="K11" i="13"/>
  <c r="D9" i="13"/>
  <c r="D9" i="12"/>
  <c r="K11" i="12"/>
  <c r="H8" i="12"/>
  <c r="K11" i="11"/>
  <c r="D9" i="11"/>
  <c r="H8" i="11"/>
  <c r="B17" i="11"/>
  <c r="B17" i="10"/>
  <c r="H8" i="10"/>
  <c r="D9" i="10"/>
  <c r="K11" i="10"/>
  <c r="D9" i="9"/>
  <c r="K11" i="9"/>
  <c r="H8" i="9"/>
  <c r="B17" i="9"/>
  <c r="H8" i="6"/>
  <c r="K11" i="7"/>
  <c r="D9" i="7"/>
  <c r="H8" i="7"/>
  <c r="B17" i="7"/>
  <c r="K11" i="6"/>
  <c r="C4" i="6"/>
  <c r="E4" i="6" s="1"/>
  <c r="B17" i="6"/>
  <c r="D9" i="4"/>
  <c r="B17" i="4"/>
  <c r="K11" i="4"/>
  <c r="H8" i="4"/>
  <c r="E5" i="4"/>
  <c r="E6" i="4"/>
  <c r="E7" i="4"/>
  <c r="E8" i="4"/>
  <c r="E3" i="4"/>
  <c r="D9" i="6"/>
  <c r="C9" i="4"/>
  <c r="E2" i="4"/>
  <c r="C4" i="7" a="1"/>
  <c r="C5" i="6" a="1"/>
  <c r="C3" i="6" a="1"/>
  <c r="C6" i="6" a="1"/>
  <c r="C2" i="6" a="1"/>
  <c r="C7" i="6" a="1"/>
  <c r="C8" i="6" a="1"/>
  <c r="K21" i="20" l="1"/>
  <c r="G21" i="20"/>
  <c r="F21" i="20"/>
  <c r="J21" i="20"/>
  <c r="D21" i="20"/>
  <c r="L21" i="20"/>
  <c r="E21" i="20"/>
  <c r="C21" i="20"/>
  <c r="C4" i="7"/>
  <c r="E4" i="7" s="1"/>
  <c r="C8" i="6"/>
  <c r="E8" i="6" s="1"/>
  <c r="C7" i="6"/>
  <c r="E7" i="6" s="1"/>
  <c r="C6" i="6"/>
  <c r="E6" i="6" s="1"/>
  <c r="C5" i="6"/>
  <c r="E5" i="6" s="1"/>
  <c r="C3" i="6"/>
  <c r="E3" i="6" s="1"/>
  <c r="E9" i="4"/>
  <c r="C2" i="6"/>
  <c r="E2" i="6" s="1"/>
  <c r="C2" i="7" a="1"/>
  <c r="C7" i="7" a="1"/>
  <c r="C3" i="7" a="1"/>
  <c r="C5" i="7" a="1"/>
  <c r="C6" i="7" a="1"/>
  <c r="C8" i="7" a="1"/>
  <c r="C4" i="9" a="1"/>
  <c r="C4" i="9" l="1"/>
  <c r="E4" i="9" s="1"/>
  <c r="C6" i="7"/>
  <c r="E6" i="7" s="1"/>
  <c r="C5" i="7"/>
  <c r="E5" i="7" s="1"/>
  <c r="C7" i="7"/>
  <c r="E7" i="7" s="1"/>
  <c r="C8" i="7"/>
  <c r="E8" i="7" s="1"/>
  <c r="C3" i="7"/>
  <c r="E3" i="7" s="1"/>
  <c r="C2" i="7"/>
  <c r="E9" i="6"/>
  <c r="C9" i="6"/>
  <c r="C3" i="9" a="1"/>
  <c r="C6" i="9" a="1"/>
  <c r="C5" i="9" a="1"/>
  <c r="C8" i="9" a="1"/>
  <c r="C4" i="10" a="1"/>
  <c r="C7" i="9" a="1"/>
  <c r="C4" i="10" l="1"/>
  <c r="E4" i="10" s="1"/>
  <c r="C3" i="9"/>
  <c r="E3" i="9" s="1"/>
  <c r="C8" i="9"/>
  <c r="E8" i="9" s="1"/>
  <c r="C7" i="9"/>
  <c r="E7" i="9" s="1"/>
  <c r="C5" i="9"/>
  <c r="E5" i="9" s="1"/>
  <c r="C6" i="9"/>
  <c r="E6" i="9" s="1"/>
  <c r="E2" i="7"/>
  <c r="C9" i="7"/>
  <c r="C6" i="10" a="1"/>
  <c r="C5" i="10" a="1"/>
  <c r="C7" i="10" a="1"/>
  <c r="C2" i="9" a="1"/>
  <c r="C3" i="10" a="1"/>
  <c r="C8" i="10" a="1"/>
  <c r="C4" i="11" a="1"/>
  <c r="C4" i="11" l="1"/>
  <c r="E4" i="11" s="1"/>
  <c r="C7" i="10"/>
  <c r="E7" i="10" s="1"/>
  <c r="C6" i="10"/>
  <c r="E6" i="10" s="1"/>
  <c r="C5" i="10"/>
  <c r="E5" i="10" s="1"/>
  <c r="C8" i="10"/>
  <c r="E8" i="10" s="1"/>
  <c r="C3" i="10"/>
  <c r="E3" i="10" s="1"/>
  <c r="C2" i="9"/>
  <c r="E9" i="7"/>
  <c r="C7" i="11" a="1"/>
  <c r="C5" i="11" a="1"/>
  <c r="C3" i="11" a="1"/>
  <c r="C4" i="12" a="1"/>
  <c r="C6" i="11" a="1"/>
  <c r="C8" i="11" a="1"/>
  <c r="C4" i="12" l="1"/>
  <c r="E4" i="12" s="1"/>
  <c r="C5" i="11"/>
  <c r="E5" i="11" s="1"/>
  <c r="C8" i="11"/>
  <c r="E8" i="11" s="1"/>
  <c r="C6" i="11"/>
  <c r="E6" i="11" s="1"/>
  <c r="C3" i="11"/>
  <c r="E3" i="11" s="1"/>
  <c r="C7" i="11"/>
  <c r="E7" i="11" s="1"/>
  <c r="E2" i="9"/>
  <c r="C9" i="9"/>
  <c r="C8" i="12" a="1"/>
  <c r="C6" i="12" a="1"/>
  <c r="C7" i="12" a="1"/>
  <c r="C2" i="10" a="1"/>
  <c r="C4" i="13" a="1"/>
  <c r="C5" i="12" a="1"/>
  <c r="C3" i="12" a="1"/>
  <c r="C3" i="12" l="1"/>
  <c r="E3" i="12" s="1"/>
  <c r="C7" i="12"/>
  <c r="E7" i="12" s="1"/>
  <c r="C6" i="12"/>
  <c r="E6" i="12" s="1"/>
  <c r="C8" i="12"/>
  <c r="E8" i="12" s="1"/>
  <c r="C5" i="12"/>
  <c r="E5" i="12" s="1"/>
  <c r="C4" i="13"/>
  <c r="E4" i="13" s="1"/>
  <c r="C2" i="10"/>
  <c r="E9" i="9"/>
  <c r="C3" i="13" a="1"/>
  <c r="C5" i="13" a="1"/>
  <c r="C7" i="13" a="1"/>
  <c r="C4" i="14" a="1"/>
  <c r="C6" i="13" a="1"/>
  <c r="C8" i="13" a="1"/>
  <c r="C7" i="13" l="1"/>
  <c r="E7" i="13" s="1"/>
  <c r="C4" i="14"/>
  <c r="E4" i="14" s="1"/>
  <c r="C5" i="13"/>
  <c r="E5" i="13" s="1"/>
  <c r="C8" i="13"/>
  <c r="E8" i="13" s="1"/>
  <c r="C6" i="13"/>
  <c r="E6" i="13" s="1"/>
  <c r="C3" i="13"/>
  <c r="E3" i="13" s="1"/>
  <c r="C9" i="10"/>
  <c r="E2" i="10"/>
  <c r="C6" i="14" a="1"/>
  <c r="C2" i="11" a="1"/>
  <c r="C3" i="14" a="1"/>
  <c r="C7" i="14" a="1"/>
  <c r="C5" i="14" a="1"/>
  <c r="C4" i="15" a="1"/>
  <c r="C8" i="14" a="1"/>
  <c r="C2" i="11" l="1"/>
  <c r="C8" i="14"/>
  <c r="E8" i="14" s="1"/>
  <c r="C3" i="14"/>
  <c r="E3" i="14" s="1"/>
  <c r="C6" i="14"/>
  <c r="E6" i="14" s="1"/>
  <c r="C5" i="14"/>
  <c r="E5" i="14" s="1"/>
  <c r="C4" i="15"/>
  <c r="E4" i="15" s="1"/>
  <c r="C7" i="14"/>
  <c r="E7" i="14" s="1"/>
  <c r="E9" i="10"/>
  <c r="C8" i="15" a="1"/>
  <c r="C4" i="16" a="1"/>
  <c r="C6" i="15" a="1"/>
  <c r="C5" i="15" a="1"/>
  <c r="C7" i="15" a="1"/>
  <c r="C3" i="15" a="1"/>
  <c r="C7" i="15" l="1"/>
  <c r="E7" i="15" s="1"/>
  <c r="C3" i="15"/>
  <c r="E3" i="15" s="1"/>
  <c r="C4" i="16"/>
  <c r="E4" i="16" s="1"/>
  <c r="C5" i="15"/>
  <c r="E5" i="15" s="1"/>
  <c r="C6" i="15"/>
  <c r="E6" i="15" s="1"/>
  <c r="C8" i="15"/>
  <c r="E8" i="15" s="1"/>
  <c r="E2" i="11"/>
  <c r="C9" i="11"/>
  <c r="C7" i="16" a="1"/>
  <c r="C2" i="12" a="1"/>
  <c r="C3" i="16" a="1"/>
  <c r="C4" i="18" a="1"/>
  <c r="C6" i="16" a="1"/>
  <c r="C5" i="16" a="1"/>
  <c r="C8" i="16" a="1"/>
  <c r="C4" i="18" l="1"/>
  <c r="E4" i="18" s="1"/>
  <c r="C6" i="16"/>
  <c r="E6" i="16" s="1"/>
  <c r="C2" i="12"/>
  <c r="C5" i="16"/>
  <c r="E5" i="16" s="1"/>
  <c r="C8" i="16"/>
  <c r="E8" i="16" s="1"/>
  <c r="C3" i="16"/>
  <c r="E3" i="16" s="1"/>
  <c r="C7" i="16"/>
  <c r="E7" i="16" s="1"/>
  <c r="E9" i="11"/>
  <c r="C6" i="18" a="1"/>
  <c r="C3" i="18" a="1"/>
  <c r="C5" i="18" a="1"/>
  <c r="C8" i="18" a="1"/>
  <c r="C7" i="18" a="1"/>
  <c r="C7" i="18" l="1"/>
  <c r="E7" i="18" s="1"/>
  <c r="C3" i="18"/>
  <c r="E3" i="18" s="1"/>
  <c r="C8" i="18"/>
  <c r="E8" i="18" s="1"/>
  <c r="C5" i="18"/>
  <c r="E5" i="18" s="1"/>
  <c r="C6" i="18"/>
  <c r="E6" i="18" s="1"/>
  <c r="C9" i="12"/>
  <c r="E2" i="12"/>
  <c r="C2" i="13" a="1"/>
  <c r="C2" i="13" l="1"/>
  <c r="E9" i="12"/>
  <c r="C9" i="13" l="1"/>
  <c r="E2" i="13"/>
  <c r="C2" i="14" a="1"/>
  <c r="C2" i="14" l="1"/>
  <c r="E9" i="13"/>
  <c r="E2" i="14" l="1"/>
  <c r="C9" i="14"/>
  <c r="C2" i="15" a="1"/>
  <c r="C2" i="15" l="1"/>
  <c r="E9" i="14"/>
  <c r="E2" i="15" l="1"/>
  <c r="C9" i="15"/>
  <c r="C2" i="16" a="1"/>
  <c r="C2" i="16" l="1"/>
  <c r="E9" i="15"/>
  <c r="E2" i="16" l="1"/>
  <c r="C9" i="16"/>
  <c r="C2" i="18" a="1"/>
  <c r="C2" i="18" l="1"/>
  <c r="E9" i="16"/>
  <c r="E2" i="18" l="1"/>
  <c r="E9" i="18" s="1"/>
  <c r="C9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<sst xmlns="http://schemas.openxmlformats.org/spreadsheetml/2006/main" count="1419" uniqueCount="56">
  <si>
    <t>Bank</t>
  </si>
  <si>
    <t>Amount</t>
  </si>
  <si>
    <t>Product</t>
  </si>
  <si>
    <t>Category</t>
  </si>
  <si>
    <t>Type</t>
  </si>
  <si>
    <t>Date</t>
  </si>
  <si>
    <t>Month</t>
  </si>
  <si>
    <t>Santander</t>
  </si>
  <si>
    <t>Account</t>
  </si>
  <si>
    <t>Credit card</t>
  </si>
  <si>
    <t>Fixed-term deposit</t>
  </si>
  <si>
    <t>Millennium</t>
  </si>
  <si>
    <t>Savings account</t>
  </si>
  <si>
    <t>Wallet</t>
  </si>
  <si>
    <t>Money</t>
  </si>
  <si>
    <t>Gift card</t>
  </si>
  <si>
    <t>Transportation</t>
  </si>
  <si>
    <t>Groceries</t>
  </si>
  <si>
    <t>Accomodation</t>
  </si>
  <si>
    <t>Multimedia</t>
  </si>
  <si>
    <t>Entertainment</t>
  </si>
  <si>
    <t>Health&amp;Beauty</t>
  </si>
  <si>
    <t>Clothing</t>
  </si>
  <si>
    <t>Studies</t>
  </si>
  <si>
    <t>Other expences</t>
  </si>
  <si>
    <t>Allowance</t>
  </si>
  <si>
    <t>Salary</t>
  </si>
  <si>
    <t>Scholarship</t>
  </si>
  <si>
    <t>Financial</t>
  </si>
  <si>
    <t>Gift</t>
  </si>
  <si>
    <t>Other incoms</t>
  </si>
  <si>
    <t>Transfer</t>
  </si>
  <si>
    <t>Income</t>
  </si>
  <si>
    <t>Credit Card</t>
  </si>
  <si>
    <t>Opening balance</t>
  </si>
  <si>
    <t>Operations</t>
  </si>
  <si>
    <t>Closing balance</t>
  </si>
  <si>
    <t>Total</t>
  </si>
  <si>
    <t>Expense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</si>
  <si>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</si>
  <si>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</si>
  <si>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</si>
  <si>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</si>
  <si>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</si>
  <si>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</si>
  <si>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</si>
  <si>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</si>
  <si>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</si>
  <si>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</si>
  <si>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</si>
  <si>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</si>
  <si>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Expense Total</t>
  </si>
  <si>
    <t>Income Total</t>
  </si>
  <si>
    <t>Transfer Total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</si>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</sst>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zł&quot;;[Red]\-#,##0.00\ &quot;zł&quot;"/>
    <numFmt numFmtId="165" formatCode="_-* #,##0.00\ &quot;₽&quot;_-;\-* #,##0.00\ &quot;₽&quot;_-;_-* &quot;-&quot;??\ &quot;₽&quot;_-;_-@_-"/>
    <numFmt numFmtId="166" formatCode="_-* #,##0.00\ [$PLN]_-;\-* #,##0.00\ [$PLN]_-;_-* &quot;-&quot;??\ [$PLN]_-;_-@_-"/>
    <numFmt numFmtId="167" formatCode="_-* #,##0.00\ [$zł-415]_-;\-* #,##0.00\ [$zł-415]_-;_-* &quot;-&quot;??\ [$zł-415]_-;_-@_-"/>
  </numFmts>
  <fonts count="5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165" fontId="2" fillId="0" borderId="0" applyFont="0" applyFill="0" applyBorder="0" applyAlignment="0" applyProtection="0"/>
    <xf numFmtId="0" fontId="4" fillId="2" borderId="1" applyNumberFormat="0" applyAlignment="0" applyProtection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166" fontId="0" fillId="0" borderId="0" xfId="0" applyNumberFormat="1"/>
    <xf numFmtId="0" fontId="0" fillId="0" borderId="0" xfId="0" applyAlignment="1">
      <alignment horizontal="right"/>
    </xf>
    <xf numFmtId="167" fontId="0" fillId="0" borderId="0" xfId="0" applyNumberFormat="1"/>
    <xf numFmtId="167" fontId="0" fillId="0" borderId="0" xfId="1" applyNumberFormat="1" applyFont="1"/>
    <xf numFmtId="0" fontId="3" fillId="0" borderId="0" xfId="0" applyFont="1"/>
    <xf numFmtId="0" fontId="0" fillId="0" borderId="0" xfId="0" pivotButton="1"/>
    <xf numFmtId="164" fontId="0" fillId="0" borderId="0" xfId="0" applyNumberFormat="1"/>
    <xf numFmtId="0" fontId="1" fillId="0" borderId="0" xfId="0" applyNumberFormat="1" applyFont="1"/>
    <xf numFmtId="0" fontId="4" fillId="2" borderId="1" xfId="2"/>
  </cellXfs>
  <cellStyles count="3">
    <cellStyle name="Check Cell" xfId="2" builtinId="23"/>
    <cellStyle name="Currency" xfId="1" builtinId="4"/>
    <cellStyle name="Normal" xfId="0" builtinId="0"/>
  </cellStyles>
  <dxfs count="2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6" formatCode="_-* #,##0.00\ [$PLN]_-;\-* #,##0.00\ [$PLN]_-;_-* &quot;-&quot;??\ [$PLN]_-;_-@_-"/>
    </dxf>
    <dxf>
      <numFmt numFmtId="166" formatCode="_-* #,##0.00\ [$PLN]_-;\-* #,##0.00\ [$PLN]_-;_-* &quot;-&quot;??\ [$PLN]_-;_-@_-"/>
    </dxf>
    <dxf>
      <numFmt numFmtId="166" formatCode="_-* #,##0.00\ [$PLN]_-;\-* #,##0.00\ [$PLN]_-;_-* &quot;-&quot;??\ [$PLN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6" formatCode="_-* #,##0.00\ [$PLN]_-;\-* #,##0.00\ [$PLN]_-;_-* &quot;-&quot;??\ [$PLN]_-;_-@_-"/>
    </dxf>
    <dxf>
      <numFmt numFmtId="166" formatCode="_-* #,##0.00\ [$PLN]_-;\-* #,##0.00\ [$PLN]_-;_-* &quot;-&quot;??\ [$PLN]_-;_-@_-"/>
    </dxf>
    <dxf>
      <numFmt numFmtId="166" formatCode="_-* #,##0.00\ [$PLN]_-;\-* #,##0.00\ [$PLN]_-;_-* &quot;-&quot;??\ [$PLN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6" formatCode="_-* #,##0.00\ [$PLN]_-;\-* #,##0.00\ [$PLN]_-;_-* &quot;-&quot;??\ [$PLN]_-;_-@_-"/>
    </dxf>
    <dxf>
      <numFmt numFmtId="166" formatCode="_-* #,##0.00\ [$PLN]_-;\-* #,##0.00\ [$PLN]_-;_-* &quot;-&quot;??\ [$PLN]_-;_-@_-"/>
    </dxf>
    <dxf>
      <numFmt numFmtId="166" formatCode="_-* #,##0.00\ [$PLN]_-;\-* #,##0.00\ [$PLN]_-;_-* &quot;-&quot;??\ [$PLN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6" formatCode="_-* #,##0.00\ [$PLN]_-;\-* #,##0.00\ [$PLN]_-;_-* &quot;-&quot;??\ [$PLN]_-;_-@_-"/>
    </dxf>
    <dxf>
      <numFmt numFmtId="166" formatCode="_-* #,##0.00\ [$PLN]_-;\-* #,##0.00\ [$PLN]_-;_-* &quot;-&quot;??\ [$PLN]_-;_-@_-"/>
    </dxf>
    <dxf>
      <numFmt numFmtId="166" formatCode="_-* #,##0.00\ [$PLN]_-;\-* #,##0.00\ [$PLN]_-;_-* &quot;-&quot;??\ [$PLN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6" formatCode="_-* #,##0.00\ [$PLN]_-;\-* #,##0.00\ [$PLN]_-;_-* &quot;-&quot;??\ [$PLN]_-;_-@_-"/>
    </dxf>
    <dxf>
      <numFmt numFmtId="166" formatCode="_-* #,##0.00\ [$PLN]_-;\-* #,##0.00\ [$PLN]_-;_-* &quot;-&quot;??\ [$PLN]_-;_-@_-"/>
    </dxf>
    <dxf>
      <numFmt numFmtId="166" formatCode="_-* #,##0.00\ [$PLN]_-;\-* #,##0.00\ [$PLN]_-;_-* &quot;-&quot;??\ [$PLN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6" formatCode="_-* #,##0.00\ [$PLN]_-;\-* #,##0.00\ [$PLN]_-;_-* &quot;-&quot;??\ [$PLN]_-;_-@_-"/>
    </dxf>
    <dxf>
      <numFmt numFmtId="166" formatCode="_-* #,##0.00\ [$PLN]_-;\-* #,##0.00\ [$PLN]_-;_-* &quot;-&quot;??\ [$PLN]_-;_-@_-"/>
    </dxf>
    <dxf>
      <numFmt numFmtId="166" formatCode="_-* #,##0.00\ [$PLN]_-;\-* #,##0.00\ [$PLN]_-;_-* &quot;-&quot;??\ [$PLN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6" formatCode="_-* #,##0.00\ [$PLN]_-;\-* #,##0.00\ [$PLN]_-;_-* &quot;-&quot;??\ [$PLN]_-;_-@_-"/>
    </dxf>
    <dxf>
      <numFmt numFmtId="166" formatCode="_-* #,##0.00\ [$PLN]_-;\-* #,##0.00\ [$PLN]_-;_-* &quot;-&quot;??\ [$PLN]_-;_-@_-"/>
    </dxf>
    <dxf>
      <numFmt numFmtId="166" formatCode="_-* #,##0.00\ [$PLN]_-;\-* #,##0.00\ [$PLN]_-;_-* &quot;-&quot;??\ [$PLN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6" formatCode="_-* #,##0.00\ [$PLN]_-;\-* #,##0.00\ [$PLN]_-;_-* &quot;-&quot;??\ [$PLN]_-;_-@_-"/>
    </dxf>
    <dxf>
      <numFmt numFmtId="166" formatCode="_-* #,##0.00\ [$PLN]_-;\-* #,##0.00\ [$PLN]_-;_-* &quot;-&quot;??\ [$PLN]_-;_-@_-"/>
    </dxf>
    <dxf>
      <numFmt numFmtId="166" formatCode="_-* #,##0.00\ [$PLN]_-;\-* #,##0.00\ [$PLN]_-;_-* &quot;-&quot;??\ [$PLN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6" formatCode="_-* #,##0.00\ [$PLN]_-;\-* #,##0.00\ [$PLN]_-;_-* &quot;-&quot;??\ [$PLN]_-;_-@_-"/>
    </dxf>
    <dxf>
      <numFmt numFmtId="166" formatCode="_-* #,##0.00\ [$PLN]_-;\-* #,##0.00\ [$PLN]_-;_-* &quot;-&quot;??\ [$PLN]_-;_-@_-"/>
    </dxf>
    <dxf>
      <numFmt numFmtId="166" formatCode="_-* #,##0.00\ [$PLN]_-;\-* #,##0.00\ [$PLN]_-;_-* &quot;-&quot;??\ [$PLN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6" formatCode="_-* #,##0.00\ [$PLN]_-;\-* #,##0.00\ [$PLN]_-;_-* &quot;-&quot;??\ [$PLN]_-;_-@_-"/>
    </dxf>
    <dxf>
      <numFmt numFmtId="166" formatCode="_-* #,##0.00\ [$PLN]_-;\-* #,##0.00\ [$PLN]_-;_-* &quot;-&quot;??\ [$PLN]_-;_-@_-"/>
    </dxf>
    <dxf>
      <numFmt numFmtId="166" formatCode="_-* #,##0.00\ [$PLN]_-;\-* #,##0.00\ [$PLN]_-;_-* &quot;-&quot;??\ [$PLN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6" formatCode="_-* #,##0.00\ [$PLN]_-;\-* #,##0.00\ [$PLN]_-;_-* &quot;-&quot;??\ [$PLN]_-;_-@_-"/>
    </dxf>
    <dxf>
      <numFmt numFmtId="166" formatCode="_-* #,##0.00\ [$PLN]_-;\-* #,##0.00\ [$PLN]_-;_-* &quot;-&quot;??\ [$PLN]_-;_-@_-"/>
    </dxf>
    <dxf>
      <numFmt numFmtId="166" formatCode="_-* #,##0.00\ [$PLN]_-;\-* #,##0.00\ [$PLN]_-;_-* &quot;-&quot;??\ [$PLN]_-;_-@_-"/>
    </dxf>
    <dxf>
      <numFmt numFmtId="166" formatCode="_-* #,##0.00\ [$PLN]_-;\-* #,##0.00\ [$PLN]_-;_-* &quot;-&quot;??\ [$PLN]_-;_-@_-"/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</dxf>
    <dxf>
      <numFmt numFmtId="166" formatCode="_-* #,##0.00\ [$PLN]_-;\-* #,##0.00\ [$PLN]_-;_-* &quot;-&quot;??\ [$PLN]_-;_-@_-"/>
    </dxf>
    <dxf>
      <numFmt numFmtId="166" formatCode="_-* #,##0.00\ [$PLN]_-;\-* #,##0.00\ [$PLN]_-;_-* &quot;-&quot;??\ [$PLN]_-;_-@_-"/>
    </dxf>
    <dxf>
      <numFmt numFmtId="166" formatCode="_-* #,##0.00\ [$PLN]_-;\-* #,##0.00\ [$PLN]_-;_-* &quot;-&quot;??\ [$PLN]_-;_-@_-"/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8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numFmt numFmtId="167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ртем Кацалов" refreshedDate="45983.596507291666" createdVersion="8" refreshedVersion="8" minRefreshableVersion="3" recordCount="207" xr:uid="{0E8FFC03-1CF5-4001-86CC-AB75F2540CFB}">
  <cacheSource type="worksheet">
    <worksheetSource name="operations"/>
  </cacheSource>
  <cacheFields count="7">
    <cacheField name="Amount" numFmtId="164">
      <sharedItems containsSemiMixedTypes="0" containsString="0" containsNumber="1" minValue="-2000" maxValue="4500"/>
    </cacheField>
    <cacheField name="Bank" numFmtId="0">
      <sharedItems/>
    </cacheField>
    <cacheField name="Product" numFmtId="0">
      <sharedItems/>
    </cacheField>
    <cacheField name="Category" numFmtId="0">
      <sharedItems count="16">
        <s v="Groceries"/>
        <s v="Salary"/>
        <s v="Accomodation"/>
        <s v="Multimedia"/>
        <s v="Other incoms"/>
        <s v="Other expences"/>
        <s v="Allowance"/>
        <s v="Entertainment"/>
        <s v="Transportation"/>
        <s v="Clothing"/>
        <s v="Studies"/>
        <s v="Financial"/>
        <s v="Health&amp;Beauty"/>
        <s v="Transfer"/>
        <s v="Gift"/>
        <s v="Scholarship"/>
      </sharedItems>
    </cacheField>
    <cacheField name="Type" numFmtId="0">
      <sharedItems count="3">
        <s v="Expense"/>
        <s v="Income"/>
        <s v="Transfer"/>
      </sharedItems>
    </cacheField>
    <cacheField name="Date" numFmtId="14">
      <sharedItems containsSemiMixedTypes="0" containsNonDate="0" containsDate="1" containsString="0" minDate="2024-01-05T00:00:00" maxDate="2024-12-31T00:00:00"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n v="-1500"/>
    <s v="Santander"/>
    <s v="Account"/>
    <x v="0"/>
    <x v="0"/>
    <d v="2024-01-05T00:00:00"/>
    <x v="0"/>
  </r>
  <r>
    <n v="4500"/>
    <s v="Santander"/>
    <s v="Account"/>
    <x v="1"/>
    <x v="1"/>
    <d v="2024-01-10T00:00:00"/>
    <x v="0"/>
  </r>
  <r>
    <n v="-2000"/>
    <s v="Santander"/>
    <s v="Account"/>
    <x v="2"/>
    <x v="0"/>
    <d v="2024-01-11T00:00:00"/>
    <x v="0"/>
  </r>
  <r>
    <n v="-45"/>
    <s v="Millennium"/>
    <s v="Account"/>
    <x v="0"/>
    <x v="0"/>
    <d v="2024-01-14T00:00:00"/>
    <x v="0"/>
  </r>
  <r>
    <n v="-150"/>
    <s v="Santander"/>
    <s v="Credit card"/>
    <x v="3"/>
    <x v="0"/>
    <d v="2024-01-15T00:00:00"/>
    <x v="0"/>
  </r>
  <r>
    <n v="-120"/>
    <s v="Santander"/>
    <s v="Account"/>
    <x v="0"/>
    <x v="0"/>
    <d v="2024-01-16T00:00:00"/>
    <x v="0"/>
  </r>
  <r>
    <n v="500"/>
    <s v="Santander"/>
    <s v="Account"/>
    <x v="4"/>
    <x v="1"/>
    <d v="2024-01-17T00:00:00"/>
    <x v="0"/>
  </r>
  <r>
    <n v="-500"/>
    <s v="Santander"/>
    <s v="Fixed-term deposit"/>
    <x v="5"/>
    <x v="0"/>
    <d v="2024-01-17T00:00:00"/>
    <x v="0"/>
  </r>
  <r>
    <n v="250"/>
    <s v="Millennium"/>
    <s v="Savings account"/>
    <x v="6"/>
    <x v="1"/>
    <d v="2024-01-17T00:00:00"/>
    <x v="0"/>
  </r>
  <r>
    <n v="-25"/>
    <s v="Santander"/>
    <s v="Credit card"/>
    <x v="7"/>
    <x v="0"/>
    <d v="2024-01-19T00:00:00"/>
    <x v="0"/>
  </r>
  <r>
    <n v="-80"/>
    <s v="Santander"/>
    <s v="Account"/>
    <x v="8"/>
    <x v="0"/>
    <d v="2024-01-20T00:00:00"/>
    <x v="0"/>
  </r>
  <r>
    <n v="150"/>
    <s v="Millennium"/>
    <s v="Account"/>
    <x v="4"/>
    <x v="1"/>
    <d v="2024-01-21T00:00:00"/>
    <x v="0"/>
  </r>
  <r>
    <n v="-80"/>
    <s v="Millennium"/>
    <s v="Account"/>
    <x v="9"/>
    <x v="0"/>
    <d v="2024-01-22T00:00:00"/>
    <x v="0"/>
  </r>
  <r>
    <n v="-60"/>
    <s v="Millennium"/>
    <s v="Account"/>
    <x v="7"/>
    <x v="0"/>
    <d v="2024-01-23T00:00:00"/>
    <x v="0"/>
  </r>
  <r>
    <n v="-100"/>
    <s v="Santander"/>
    <s v="Account"/>
    <x v="10"/>
    <x v="0"/>
    <d v="2024-01-24T00:00:00"/>
    <x v="0"/>
  </r>
  <r>
    <n v="-50"/>
    <s v="Wallet"/>
    <s v="Gift card"/>
    <x v="0"/>
    <x v="0"/>
    <d v="2024-01-25T00:00:00"/>
    <x v="0"/>
  </r>
  <r>
    <n v="150"/>
    <s v="Wallet"/>
    <s v="Money"/>
    <x v="4"/>
    <x v="1"/>
    <d v="2024-01-25T00:00:00"/>
    <x v="0"/>
  </r>
  <r>
    <n v="5.5"/>
    <s v="Millennium"/>
    <s v="Savings account"/>
    <x v="11"/>
    <x v="1"/>
    <d v="2024-01-26T00:00:00"/>
    <x v="0"/>
  </r>
  <r>
    <n v="100"/>
    <s v="Santander"/>
    <s v="Fixed-term deposit"/>
    <x v="11"/>
    <x v="1"/>
    <d v="2024-01-27T00:00:00"/>
    <x v="0"/>
  </r>
  <r>
    <n v="-100"/>
    <s v="Santander"/>
    <s v="Account"/>
    <x v="12"/>
    <x v="0"/>
    <d v="2024-01-28T00:00:00"/>
    <x v="0"/>
  </r>
  <r>
    <n v="200"/>
    <s v="Millennium"/>
    <s v="Account"/>
    <x v="4"/>
    <x v="1"/>
    <d v="2024-02-02T00:00:00"/>
    <x v="1"/>
  </r>
  <r>
    <n v="-15"/>
    <s v="Millennium"/>
    <s v="Account"/>
    <x v="5"/>
    <x v="0"/>
    <d v="2024-02-04T00:00:00"/>
    <x v="1"/>
  </r>
  <r>
    <n v="-5.5"/>
    <s v="Santander"/>
    <s v="Account"/>
    <x v="0"/>
    <x v="0"/>
    <d v="2024-02-06T00:00:00"/>
    <x v="1"/>
  </r>
  <r>
    <n v="4500"/>
    <s v="Santander"/>
    <s v="Account"/>
    <x v="1"/>
    <x v="1"/>
    <d v="2024-02-10T00:00:00"/>
    <x v="1"/>
  </r>
  <r>
    <n v="-2000"/>
    <s v="Santander"/>
    <s v="Account"/>
    <x v="2"/>
    <x v="0"/>
    <d v="2024-02-11T00:00:00"/>
    <x v="1"/>
  </r>
  <r>
    <n v="-150"/>
    <s v="Santander"/>
    <s v="Account"/>
    <x v="7"/>
    <x v="0"/>
    <d v="2024-02-13T00:00:00"/>
    <x v="1"/>
  </r>
  <r>
    <n v="500"/>
    <s v="Santander"/>
    <s v="Account"/>
    <x v="4"/>
    <x v="1"/>
    <d v="2024-02-14T00:00:00"/>
    <x v="1"/>
  </r>
  <r>
    <n v="-300"/>
    <s v="Santander"/>
    <s v="Account"/>
    <x v="0"/>
    <x v="0"/>
    <d v="2024-02-14T00:00:00"/>
    <x v="1"/>
  </r>
  <r>
    <n v="-500"/>
    <s v="Santander"/>
    <s v="Fixed-term deposit"/>
    <x v="5"/>
    <x v="0"/>
    <d v="2024-02-14T00:00:00"/>
    <x v="1"/>
  </r>
  <r>
    <n v="-200"/>
    <s v="Wallet"/>
    <s v="Money"/>
    <x v="5"/>
    <x v="0"/>
    <d v="2024-02-14T00:00:00"/>
    <x v="1"/>
  </r>
  <r>
    <n v="175"/>
    <s v="Santander"/>
    <s v="Credit card"/>
    <x v="13"/>
    <x v="2"/>
    <d v="2024-02-15T00:00:00"/>
    <x v="1"/>
  </r>
  <r>
    <n v="-175"/>
    <s v="Santander"/>
    <s v="Account"/>
    <x v="13"/>
    <x v="2"/>
    <d v="2024-02-15T00:00:00"/>
    <x v="1"/>
  </r>
  <r>
    <n v="-100"/>
    <s v="Santander"/>
    <s v="Account"/>
    <x v="10"/>
    <x v="0"/>
    <d v="2024-02-17T00:00:00"/>
    <x v="1"/>
  </r>
  <r>
    <n v="-80"/>
    <s v="Santander"/>
    <s v="Account"/>
    <x v="8"/>
    <x v="0"/>
    <d v="2024-02-20T00:00:00"/>
    <x v="1"/>
  </r>
  <r>
    <n v="150"/>
    <s v="Wallet"/>
    <s v="Money"/>
    <x v="4"/>
    <x v="1"/>
    <d v="2024-02-22T00:00:00"/>
    <x v="1"/>
  </r>
  <r>
    <n v="100"/>
    <s v="Wallet"/>
    <s v="Gift card"/>
    <x v="4"/>
    <x v="1"/>
    <d v="2024-02-23T00:00:00"/>
    <x v="1"/>
  </r>
  <r>
    <n v="-200"/>
    <s v="Wallet"/>
    <s v="Money"/>
    <x v="7"/>
    <x v="0"/>
    <d v="2024-02-24T00:00:00"/>
    <x v="1"/>
  </r>
  <r>
    <n v="1000"/>
    <s v="Wallet"/>
    <s v="Money"/>
    <x v="4"/>
    <x v="1"/>
    <d v="2024-02-25T00:00:00"/>
    <x v="1"/>
  </r>
  <r>
    <n v="-250"/>
    <s v="Wallet"/>
    <s v="Money"/>
    <x v="12"/>
    <x v="0"/>
    <d v="2024-02-25T00:00:00"/>
    <x v="1"/>
  </r>
  <r>
    <n v="-100"/>
    <s v="Millennium"/>
    <s v="Account"/>
    <x v="0"/>
    <x v="0"/>
    <d v="2024-02-26T00:00:00"/>
    <x v="1"/>
  </r>
  <r>
    <n v="-50"/>
    <s v="Millennium"/>
    <s v="Account"/>
    <x v="5"/>
    <x v="0"/>
    <d v="2024-02-26T00:00:00"/>
    <x v="1"/>
  </r>
  <r>
    <n v="15"/>
    <s v="Millennium"/>
    <s v="Savings account"/>
    <x v="11"/>
    <x v="1"/>
    <d v="2024-02-27T00:00:00"/>
    <x v="1"/>
  </r>
  <r>
    <n v="-150"/>
    <s v="Santander"/>
    <s v="Account"/>
    <x v="3"/>
    <x v="0"/>
    <d v="2024-02-28T00:00:00"/>
    <x v="1"/>
  </r>
  <r>
    <n v="100"/>
    <s v="Santander"/>
    <s v="Fixed-term deposit"/>
    <x v="11"/>
    <x v="1"/>
    <d v="2024-02-28T00:00:00"/>
    <x v="1"/>
  </r>
  <r>
    <n v="-25"/>
    <s v="Santander"/>
    <s v="Credit card"/>
    <x v="0"/>
    <x v="0"/>
    <d v="2024-03-01T00:00:00"/>
    <x v="2"/>
  </r>
  <r>
    <n v="-135.5"/>
    <s v="Santander"/>
    <s v="Account"/>
    <x v="0"/>
    <x v="0"/>
    <d v="2024-03-02T00:00:00"/>
    <x v="2"/>
  </r>
  <r>
    <n v="-82.5"/>
    <s v="Millennium"/>
    <s v="Account"/>
    <x v="8"/>
    <x v="0"/>
    <d v="2024-03-02T00:00:00"/>
    <x v="2"/>
  </r>
  <r>
    <n v="-200"/>
    <s v="Santander"/>
    <s v="Account"/>
    <x v="7"/>
    <x v="0"/>
    <d v="2024-03-04T00:00:00"/>
    <x v="2"/>
  </r>
  <r>
    <n v="150"/>
    <s v="Millennium"/>
    <s v="Account"/>
    <x v="11"/>
    <x v="1"/>
    <d v="2024-03-06T00:00:00"/>
    <x v="2"/>
  </r>
  <r>
    <n v="-24.49"/>
    <s v="Wallet"/>
    <s v="Gift card"/>
    <x v="0"/>
    <x v="0"/>
    <d v="2024-03-08T00:00:00"/>
    <x v="2"/>
  </r>
  <r>
    <n v="4500"/>
    <s v="Santander"/>
    <s v="Account"/>
    <x v="1"/>
    <x v="1"/>
    <d v="2024-03-10T00:00:00"/>
    <x v="2"/>
  </r>
  <r>
    <n v="-2000"/>
    <s v="Santander"/>
    <s v="Account"/>
    <x v="2"/>
    <x v="0"/>
    <d v="2024-03-11T00:00:00"/>
    <x v="2"/>
  </r>
  <r>
    <n v="-200"/>
    <s v="Santander"/>
    <s v="Account"/>
    <x v="0"/>
    <x v="0"/>
    <d v="2024-03-12T00:00:00"/>
    <x v="2"/>
  </r>
  <r>
    <n v="-469.9"/>
    <s v="Santander"/>
    <s v="Account"/>
    <x v="9"/>
    <x v="0"/>
    <d v="2024-03-13T00:00:00"/>
    <x v="2"/>
  </r>
  <r>
    <n v="-9.5"/>
    <s v="Wallet"/>
    <s v="Money"/>
    <x v="12"/>
    <x v="0"/>
    <d v="2024-03-17T00:00:00"/>
    <x v="2"/>
  </r>
  <r>
    <n v="-23"/>
    <s v="Santander"/>
    <s v="Account"/>
    <x v="3"/>
    <x v="0"/>
    <d v="2024-03-20T00:00:00"/>
    <x v="2"/>
  </r>
  <r>
    <n v="-150"/>
    <s v="Santander"/>
    <s v="Account"/>
    <x v="0"/>
    <x v="0"/>
    <d v="2024-03-22T00:00:00"/>
    <x v="2"/>
  </r>
  <r>
    <n v="-300"/>
    <s v="Santander"/>
    <s v="Account"/>
    <x v="5"/>
    <x v="0"/>
    <d v="2024-03-24T00:00:00"/>
    <x v="2"/>
  </r>
  <r>
    <n v="5"/>
    <s v="Millennium"/>
    <s v="Savings account"/>
    <x v="14"/>
    <x v="1"/>
    <d v="2024-03-26T00:00:00"/>
    <x v="2"/>
  </r>
  <r>
    <n v="-79.5"/>
    <s v="Santander"/>
    <s v="Credit card"/>
    <x v="10"/>
    <x v="0"/>
    <d v="2024-03-28T00:00:00"/>
    <x v="2"/>
  </r>
  <r>
    <n v="-200"/>
    <s v="Santander"/>
    <s v="Account"/>
    <x v="0"/>
    <x v="0"/>
    <d v="2024-03-30T00:00:00"/>
    <x v="2"/>
  </r>
  <r>
    <n v="-23.5"/>
    <s v="Santander"/>
    <s v="Credit card"/>
    <x v="12"/>
    <x v="0"/>
    <d v="2024-04-01T00:00:00"/>
    <x v="3"/>
  </r>
  <r>
    <n v="-82.5"/>
    <s v="Santander"/>
    <s v="Account"/>
    <x v="8"/>
    <x v="0"/>
    <d v="2024-04-02T00:00:00"/>
    <x v="3"/>
  </r>
  <r>
    <n v="150"/>
    <s v="Millennium"/>
    <s v="Account"/>
    <x v="11"/>
    <x v="1"/>
    <d v="2024-04-06T00:00:00"/>
    <x v="3"/>
  </r>
  <r>
    <n v="-99.97"/>
    <s v="Santander"/>
    <s v="Account"/>
    <x v="0"/>
    <x v="0"/>
    <d v="2024-04-07T00:00:00"/>
    <x v="3"/>
  </r>
  <r>
    <n v="4500"/>
    <s v="Santander"/>
    <s v="Account"/>
    <x v="1"/>
    <x v="1"/>
    <d v="2024-04-10T00:00:00"/>
    <x v="3"/>
  </r>
  <r>
    <n v="-2000"/>
    <s v="Santander"/>
    <s v="Account"/>
    <x v="2"/>
    <x v="0"/>
    <d v="2024-04-11T00:00:00"/>
    <x v="3"/>
  </r>
  <r>
    <n v="-149"/>
    <s v="Santander"/>
    <s v="Account"/>
    <x v="9"/>
    <x v="0"/>
    <d v="2024-04-13T00:00:00"/>
    <x v="3"/>
  </r>
  <r>
    <n v="104.5"/>
    <s v="Santander"/>
    <s v="Credit card"/>
    <x v="13"/>
    <x v="2"/>
    <d v="2024-04-15T00:00:00"/>
    <x v="3"/>
  </r>
  <r>
    <n v="-104.5"/>
    <s v="Santander"/>
    <s v="Account"/>
    <x v="13"/>
    <x v="2"/>
    <d v="2024-04-15T00:00:00"/>
    <x v="3"/>
  </r>
  <r>
    <n v="-49"/>
    <s v="Millennium"/>
    <s v="Account"/>
    <x v="3"/>
    <x v="0"/>
    <d v="2024-04-15T00:00:00"/>
    <x v="3"/>
  </r>
  <r>
    <n v="-9.99"/>
    <s v="Santander"/>
    <s v="Credit card"/>
    <x v="0"/>
    <x v="0"/>
    <d v="2024-04-16T00:00:00"/>
    <x v="3"/>
  </r>
  <r>
    <n v="-100"/>
    <s v="Santander"/>
    <s v="Account"/>
    <x v="5"/>
    <x v="0"/>
    <d v="2024-04-17T00:00:00"/>
    <x v="3"/>
  </r>
  <r>
    <n v="-57.9"/>
    <s v="Santander"/>
    <s v="Credit card"/>
    <x v="7"/>
    <x v="0"/>
    <d v="2024-04-19T00:00:00"/>
    <x v="3"/>
  </r>
  <r>
    <n v="-159.9"/>
    <s v="Santander"/>
    <s v="Account"/>
    <x v="0"/>
    <x v="0"/>
    <d v="2024-04-21T00:00:00"/>
    <x v="3"/>
  </r>
  <r>
    <n v="-1000"/>
    <s v="Santander"/>
    <s v="Account"/>
    <x v="7"/>
    <x v="0"/>
    <d v="2024-04-23T00:00:00"/>
    <x v="3"/>
  </r>
  <r>
    <n v="50"/>
    <s v="Millennium"/>
    <s v="Savings account"/>
    <x v="14"/>
    <x v="1"/>
    <d v="2024-04-25T00:00:00"/>
    <x v="3"/>
  </r>
  <r>
    <n v="-69.900000000000006"/>
    <s v="Santander"/>
    <s v="Account"/>
    <x v="0"/>
    <x v="0"/>
    <d v="2024-04-27T00:00:00"/>
    <x v="3"/>
  </r>
  <r>
    <n v="-32.5"/>
    <s v="Santander"/>
    <s v="Account"/>
    <x v="0"/>
    <x v="0"/>
    <d v="2024-04-28T00:00:00"/>
    <x v="3"/>
  </r>
  <r>
    <n v="-139"/>
    <s v="Santander"/>
    <s v="Account"/>
    <x v="10"/>
    <x v="0"/>
    <d v="2024-04-29T00:00:00"/>
    <x v="3"/>
  </r>
  <r>
    <n v="-250"/>
    <s v="Santander"/>
    <s v="Credit card"/>
    <x v="0"/>
    <x v="0"/>
    <d v="2024-05-07T00:00:00"/>
    <x v="4"/>
  </r>
  <r>
    <n v="-80"/>
    <s v="Santander"/>
    <s v="Account"/>
    <x v="8"/>
    <x v="0"/>
    <d v="2024-05-10T00:00:00"/>
    <x v="4"/>
  </r>
  <r>
    <n v="4500"/>
    <s v="Santander"/>
    <s v="Account"/>
    <x v="1"/>
    <x v="1"/>
    <d v="2024-05-10T00:00:00"/>
    <x v="4"/>
  </r>
  <r>
    <n v="-2000"/>
    <s v="Santander"/>
    <s v="Account"/>
    <x v="2"/>
    <x v="0"/>
    <d v="2024-05-11T00:00:00"/>
    <x v="4"/>
  </r>
  <r>
    <n v="-250"/>
    <s v="Santander"/>
    <s v="Credit card"/>
    <x v="0"/>
    <x v="0"/>
    <d v="2024-05-14T00:00:00"/>
    <x v="4"/>
  </r>
  <r>
    <n v="91.39"/>
    <s v="Santander"/>
    <s v="Credit card"/>
    <x v="13"/>
    <x v="2"/>
    <d v="2024-05-15T00:00:00"/>
    <x v="4"/>
  </r>
  <r>
    <n v="-91.39"/>
    <s v="Santander"/>
    <s v="Account"/>
    <x v="13"/>
    <x v="2"/>
    <d v="2024-05-15T00:00:00"/>
    <x v="4"/>
  </r>
  <r>
    <n v="-250"/>
    <s v="Santander"/>
    <s v="Credit card"/>
    <x v="0"/>
    <x v="0"/>
    <d v="2024-05-21T00:00:00"/>
    <x v="4"/>
  </r>
  <r>
    <n v="-250"/>
    <s v="Santander"/>
    <s v="Credit card"/>
    <x v="0"/>
    <x v="0"/>
    <d v="2024-05-28T00:00:00"/>
    <x v="4"/>
  </r>
  <r>
    <n v="-50"/>
    <s v="Millennium"/>
    <s v="Account"/>
    <x v="3"/>
    <x v="0"/>
    <d v="2024-05-29T00:00:00"/>
    <x v="4"/>
  </r>
  <r>
    <n v="-80"/>
    <s v="Wallet"/>
    <s v="Money"/>
    <x v="7"/>
    <x v="0"/>
    <d v="2024-05-30T00:00:00"/>
    <x v="4"/>
  </r>
  <r>
    <n v="-250"/>
    <s v="Santander"/>
    <s v="Credit card"/>
    <x v="0"/>
    <x v="0"/>
    <d v="2024-06-07T00:00:00"/>
    <x v="5"/>
  </r>
  <r>
    <n v="-80"/>
    <s v="Santander"/>
    <s v="Account"/>
    <x v="8"/>
    <x v="0"/>
    <d v="2024-06-10T00:00:00"/>
    <x v="5"/>
  </r>
  <r>
    <n v="4500"/>
    <s v="Santander"/>
    <s v="Account"/>
    <x v="1"/>
    <x v="1"/>
    <d v="2024-06-10T00:00:00"/>
    <x v="5"/>
  </r>
  <r>
    <n v="-2000"/>
    <s v="Santander"/>
    <s v="Account"/>
    <x v="2"/>
    <x v="0"/>
    <d v="2024-06-11T00:00:00"/>
    <x v="5"/>
  </r>
  <r>
    <n v="-250"/>
    <s v="Santander"/>
    <s v="Credit card"/>
    <x v="0"/>
    <x v="0"/>
    <d v="2024-06-14T00:00:00"/>
    <x v="5"/>
  </r>
  <r>
    <n v="1000"/>
    <s v="Santander"/>
    <s v="Credit card"/>
    <x v="13"/>
    <x v="2"/>
    <d v="2024-06-15T00:00:00"/>
    <x v="5"/>
  </r>
  <r>
    <n v="-1000"/>
    <s v="Santander"/>
    <s v="Account"/>
    <x v="13"/>
    <x v="2"/>
    <d v="2024-06-15T00:00:00"/>
    <x v="5"/>
  </r>
  <r>
    <n v="-100"/>
    <s v="Millennium"/>
    <s v="Account"/>
    <x v="12"/>
    <x v="0"/>
    <d v="2024-06-15T00:00:00"/>
    <x v="5"/>
  </r>
  <r>
    <n v="-250"/>
    <s v="Santander"/>
    <s v="Credit card"/>
    <x v="0"/>
    <x v="0"/>
    <d v="2024-06-21T00:00:00"/>
    <x v="5"/>
  </r>
  <r>
    <n v="-250"/>
    <s v="Santander"/>
    <s v="Credit card"/>
    <x v="0"/>
    <x v="0"/>
    <d v="2024-06-28T00:00:00"/>
    <x v="5"/>
  </r>
  <r>
    <n v="-300"/>
    <s v="Santander"/>
    <s v="Credit card"/>
    <x v="9"/>
    <x v="0"/>
    <d v="2024-06-28T00:00:00"/>
    <x v="5"/>
  </r>
  <r>
    <n v="-50"/>
    <s v="Millennium"/>
    <s v="Account"/>
    <x v="3"/>
    <x v="0"/>
    <d v="2024-06-29T00:00:00"/>
    <x v="5"/>
  </r>
  <r>
    <n v="400"/>
    <s v="Millennium"/>
    <s v="Account"/>
    <x v="6"/>
    <x v="1"/>
    <d v="2024-06-29T00:00:00"/>
    <x v="5"/>
  </r>
  <r>
    <n v="-200"/>
    <s v="Wallet"/>
    <s v="Money"/>
    <x v="7"/>
    <x v="0"/>
    <d v="2024-06-30T00:00:00"/>
    <x v="5"/>
  </r>
  <r>
    <n v="-30"/>
    <s v="Wallet"/>
    <s v="Gift card"/>
    <x v="0"/>
    <x v="0"/>
    <d v="2024-07-03T00:00:00"/>
    <x v="6"/>
  </r>
  <r>
    <n v="-100"/>
    <s v="Santander"/>
    <s v="Account"/>
    <x v="7"/>
    <x v="0"/>
    <d v="2024-07-07T00:00:00"/>
    <x v="6"/>
  </r>
  <r>
    <n v="4500"/>
    <s v="Santander"/>
    <s v="Account"/>
    <x v="1"/>
    <x v="1"/>
    <d v="2024-07-10T00:00:00"/>
    <x v="6"/>
  </r>
  <r>
    <n v="-2000"/>
    <s v="Santander"/>
    <s v="Account"/>
    <x v="2"/>
    <x v="0"/>
    <d v="2024-07-11T00:00:00"/>
    <x v="6"/>
  </r>
  <r>
    <n v="-40"/>
    <s v="Santander"/>
    <s v="Credit card"/>
    <x v="0"/>
    <x v="0"/>
    <d v="2024-07-14T00:00:00"/>
    <x v="6"/>
  </r>
  <r>
    <n v="1300"/>
    <s v="Santander"/>
    <s v="Credit card"/>
    <x v="13"/>
    <x v="2"/>
    <d v="2024-07-15T00:00:00"/>
    <x v="6"/>
  </r>
  <r>
    <n v="-1300"/>
    <s v="Santander"/>
    <s v="Account"/>
    <x v="13"/>
    <x v="2"/>
    <d v="2024-07-15T00:00:00"/>
    <x v="6"/>
  </r>
  <r>
    <n v="-300"/>
    <s v="Santander"/>
    <s v="Fixed-term deposit"/>
    <x v="12"/>
    <x v="0"/>
    <d v="2024-07-16T00:00:00"/>
    <x v="6"/>
  </r>
  <r>
    <n v="800"/>
    <s v="Millennium"/>
    <s v="Savings account"/>
    <x v="14"/>
    <x v="1"/>
    <d v="2024-07-18T00:00:00"/>
    <x v="6"/>
  </r>
  <r>
    <n v="-600"/>
    <s v="Millennium"/>
    <s v="Account"/>
    <x v="7"/>
    <x v="0"/>
    <d v="2024-07-21T00:00:00"/>
    <x v="6"/>
  </r>
  <r>
    <n v="120"/>
    <s v="Santander"/>
    <s v="Fixed-term deposit"/>
    <x v="11"/>
    <x v="1"/>
    <d v="2024-07-22T00:00:00"/>
    <x v="6"/>
  </r>
  <r>
    <n v="-90"/>
    <s v="Santander"/>
    <s v="Account"/>
    <x v="8"/>
    <x v="0"/>
    <d v="2024-07-24T00:00:00"/>
    <x v="6"/>
  </r>
  <r>
    <n v="-50"/>
    <s v="Santander"/>
    <s v="Credit card"/>
    <x v="0"/>
    <x v="0"/>
    <d v="2024-07-26T00:00:00"/>
    <x v="6"/>
  </r>
  <r>
    <n v="250"/>
    <s v="Millennium"/>
    <s v="Savings account"/>
    <x v="9"/>
    <x v="0"/>
    <d v="2024-07-29T00:00:00"/>
    <x v="6"/>
  </r>
  <r>
    <n v="500"/>
    <s v="Millennium"/>
    <s v="Account"/>
    <x v="15"/>
    <x v="1"/>
    <d v="2024-07-30T00:00:00"/>
    <x v="6"/>
  </r>
  <r>
    <n v="-45"/>
    <s v="Santander"/>
    <s v="Credit card"/>
    <x v="0"/>
    <x v="0"/>
    <d v="2024-07-31T00:00:00"/>
    <x v="6"/>
  </r>
  <r>
    <n v="-600"/>
    <s v="Santander"/>
    <s v="Account"/>
    <x v="0"/>
    <x v="0"/>
    <d v="2024-08-01T00:00:00"/>
    <x v="7"/>
  </r>
  <r>
    <n v="-1020"/>
    <s v="Santander"/>
    <s v="Fixed-term deposit"/>
    <x v="13"/>
    <x v="2"/>
    <d v="2024-08-01T00:00:00"/>
    <x v="7"/>
  </r>
  <r>
    <n v="-200"/>
    <s v="Millennium"/>
    <s v="Account"/>
    <x v="8"/>
    <x v="0"/>
    <d v="2024-08-01T00:00:00"/>
    <x v="7"/>
  </r>
  <r>
    <n v="-70"/>
    <s v="Santander"/>
    <s v="Credit card"/>
    <x v="0"/>
    <x v="0"/>
    <d v="2024-08-09T00:00:00"/>
    <x v="7"/>
  </r>
  <r>
    <n v="4500"/>
    <s v="Santander"/>
    <s v="Account"/>
    <x v="1"/>
    <x v="1"/>
    <d v="2024-08-10T00:00:00"/>
    <x v="7"/>
  </r>
  <r>
    <n v="-2000"/>
    <s v="Santander"/>
    <s v="Account"/>
    <x v="2"/>
    <x v="0"/>
    <d v="2024-08-11T00:00:00"/>
    <x v="7"/>
  </r>
  <r>
    <n v="-100"/>
    <s v="Millennium"/>
    <s v="Account"/>
    <x v="7"/>
    <x v="0"/>
    <d v="2024-08-14T00:00:00"/>
    <x v="7"/>
  </r>
  <r>
    <n v="135"/>
    <s v="Santander"/>
    <s v="Credit card"/>
    <x v="13"/>
    <x v="2"/>
    <d v="2024-08-15T00:00:00"/>
    <x v="7"/>
  </r>
  <r>
    <n v="-135"/>
    <s v="Santander"/>
    <s v="Account"/>
    <x v="13"/>
    <x v="2"/>
    <d v="2024-08-15T00:00:00"/>
    <x v="7"/>
  </r>
  <r>
    <n v="-400"/>
    <s v="Santander"/>
    <s v="Account"/>
    <x v="12"/>
    <x v="0"/>
    <d v="2024-08-16T00:00:00"/>
    <x v="7"/>
  </r>
  <r>
    <n v="-32"/>
    <s v="Santander"/>
    <s v="Credit card"/>
    <x v="0"/>
    <x v="0"/>
    <d v="2024-08-18T00:00:00"/>
    <x v="7"/>
  </r>
  <r>
    <n v="200"/>
    <s v="Wallet"/>
    <s v="Money"/>
    <x v="14"/>
    <x v="1"/>
    <d v="2024-08-20T00:00:00"/>
    <x v="7"/>
  </r>
  <r>
    <n v="-150"/>
    <s v="Wallet"/>
    <s v="Money"/>
    <x v="7"/>
    <x v="0"/>
    <d v="2024-08-22T00:00:00"/>
    <x v="7"/>
  </r>
  <r>
    <n v="-47.5"/>
    <s v="Wallet"/>
    <s v="Money"/>
    <x v="0"/>
    <x v="0"/>
    <d v="2024-08-23T00:00:00"/>
    <x v="7"/>
  </r>
  <r>
    <n v="-90"/>
    <s v="Santander"/>
    <s v="Account"/>
    <x v="8"/>
    <x v="0"/>
    <d v="2024-08-24T00:00:00"/>
    <x v="7"/>
  </r>
  <r>
    <n v="-300"/>
    <s v="Millennium"/>
    <s v="Savings account"/>
    <x v="9"/>
    <x v="0"/>
    <d v="2024-08-27T00:00:00"/>
    <x v="7"/>
  </r>
  <r>
    <n v="500"/>
    <s v="Millennium"/>
    <s v="Account"/>
    <x v="15"/>
    <x v="1"/>
    <d v="2024-08-30T00:00:00"/>
    <x v="7"/>
  </r>
  <r>
    <n v="200"/>
    <s v="Santander"/>
    <s v="Account"/>
    <x v="14"/>
    <x v="1"/>
    <d v="2024-08-31T00:00:00"/>
    <x v="7"/>
  </r>
  <r>
    <n v="-150"/>
    <s v="Santander"/>
    <s v="Account"/>
    <x v="8"/>
    <x v="0"/>
    <d v="2024-09-01T00:00:00"/>
    <x v="8"/>
  </r>
  <r>
    <n v="-20"/>
    <s v="Millennium"/>
    <s v="Account"/>
    <x v="0"/>
    <x v="0"/>
    <d v="2024-09-04T00:00:00"/>
    <x v="8"/>
  </r>
  <r>
    <n v="-40"/>
    <s v="Santander"/>
    <s v="Account"/>
    <x v="3"/>
    <x v="0"/>
    <d v="2024-09-07T00:00:00"/>
    <x v="8"/>
  </r>
  <r>
    <n v="-500"/>
    <s v="Santander"/>
    <s v="Account"/>
    <x v="0"/>
    <x v="0"/>
    <d v="2024-09-08T00:00:00"/>
    <x v="8"/>
  </r>
  <r>
    <n v="4500"/>
    <s v="Santander"/>
    <s v="Account"/>
    <x v="1"/>
    <x v="1"/>
    <d v="2024-09-10T00:00:00"/>
    <x v="8"/>
  </r>
  <r>
    <n v="-20"/>
    <s v="Santander"/>
    <s v="Credit card"/>
    <x v="7"/>
    <x v="0"/>
    <d v="2024-09-11T00:00:00"/>
    <x v="8"/>
  </r>
  <r>
    <n v="-2000"/>
    <s v="Santander"/>
    <s v="Account"/>
    <x v="2"/>
    <x v="0"/>
    <d v="2024-09-11T00:00:00"/>
    <x v="8"/>
  </r>
  <r>
    <n v="102"/>
    <s v="Santander"/>
    <s v="Credit card"/>
    <x v="13"/>
    <x v="2"/>
    <d v="2024-09-15T00:00:00"/>
    <x v="8"/>
  </r>
  <r>
    <n v="-102"/>
    <s v="Santander"/>
    <s v="Account"/>
    <x v="13"/>
    <x v="2"/>
    <d v="2024-09-15T00:00:00"/>
    <x v="8"/>
  </r>
  <r>
    <n v="-18.5"/>
    <s v="Santander"/>
    <s v="Account"/>
    <x v="0"/>
    <x v="0"/>
    <d v="2024-09-18T00:00:00"/>
    <x v="8"/>
  </r>
  <r>
    <n v="-150"/>
    <s v="Santander"/>
    <s v="Account"/>
    <x v="8"/>
    <x v="0"/>
    <d v="2024-10-01T00:00:00"/>
    <x v="9"/>
  </r>
  <r>
    <n v="-40"/>
    <s v="Santander"/>
    <s v="Account"/>
    <x v="3"/>
    <x v="0"/>
    <d v="2024-10-07T00:00:00"/>
    <x v="9"/>
  </r>
  <r>
    <n v="-600"/>
    <s v="Santander"/>
    <s v="Account"/>
    <x v="0"/>
    <x v="0"/>
    <d v="2024-10-08T00:00:00"/>
    <x v="9"/>
  </r>
  <r>
    <n v="4500"/>
    <s v="Santander"/>
    <s v="Account"/>
    <x v="1"/>
    <x v="1"/>
    <d v="2024-10-10T00:00:00"/>
    <x v="9"/>
  </r>
  <r>
    <n v="-40"/>
    <s v="Santander"/>
    <s v="Credit card"/>
    <x v="7"/>
    <x v="0"/>
    <d v="2024-10-11T00:00:00"/>
    <x v="9"/>
  </r>
  <r>
    <n v="-2000"/>
    <s v="Santander"/>
    <s v="Account"/>
    <x v="2"/>
    <x v="0"/>
    <d v="2024-10-11T00:00:00"/>
    <x v="9"/>
  </r>
  <r>
    <n v="20"/>
    <s v="Santander"/>
    <s v="Credit card"/>
    <x v="13"/>
    <x v="2"/>
    <d v="2024-10-15T00:00:00"/>
    <x v="9"/>
  </r>
  <r>
    <n v="-20"/>
    <s v="Santander"/>
    <s v="Account"/>
    <x v="13"/>
    <x v="2"/>
    <d v="2024-10-15T00:00:00"/>
    <x v="9"/>
  </r>
  <r>
    <n v="4500"/>
    <s v="Santander"/>
    <s v="Account"/>
    <x v="1"/>
    <x v="1"/>
    <d v="2024-11-10T00:00:00"/>
    <x v="10"/>
  </r>
  <r>
    <n v="-2000"/>
    <s v="Santander"/>
    <s v="Account"/>
    <x v="2"/>
    <x v="0"/>
    <d v="2024-11-11T00:00:00"/>
    <x v="10"/>
  </r>
  <r>
    <n v="-82"/>
    <s v="Santander"/>
    <s v="Account"/>
    <x v="8"/>
    <x v="0"/>
    <d v="2024-11-11T00:00:00"/>
    <x v="10"/>
  </r>
  <r>
    <n v="-200"/>
    <s v="Santander"/>
    <s v="Account"/>
    <x v="0"/>
    <x v="0"/>
    <d v="2024-11-11T00:00:00"/>
    <x v="10"/>
  </r>
  <r>
    <n v="-12"/>
    <s v="Santander"/>
    <s v="Account"/>
    <x v="3"/>
    <x v="0"/>
    <d v="2024-11-12T00:00:00"/>
    <x v="10"/>
  </r>
  <r>
    <n v="-90"/>
    <s v="Santander"/>
    <s v="Account"/>
    <x v="7"/>
    <x v="0"/>
    <d v="2024-11-14T00:00:00"/>
    <x v="10"/>
  </r>
  <r>
    <n v="40"/>
    <s v="Santander"/>
    <s v="Credit card"/>
    <x v="13"/>
    <x v="2"/>
    <d v="2024-11-15T00:00:00"/>
    <x v="10"/>
  </r>
  <r>
    <n v="-40"/>
    <s v="Santander"/>
    <s v="Account"/>
    <x v="13"/>
    <x v="2"/>
    <d v="2024-11-15T00:00:00"/>
    <x v="10"/>
  </r>
  <r>
    <n v="-28"/>
    <s v="Santander"/>
    <s v="Account"/>
    <x v="0"/>
    <x v="0"/>
    <d v="2024-11-16T00:00:00"/>
    <x v="10"/>
  </r>
  <r>
    <n v="-63"/>
    <s v="Santander"/>
    <s v="Account"/>
    <x v="12"/>
    <x v="0"/>
    <d v="2024-11-17T00:00:00"/>
    <x v="10"/>
  </r>
  <r>
    <n v="-15"/>
    <s v="Santander"/>
    <s v="Account"/>
    <x v="8"/>
    <x v="0"/>
    <d v="2024-11-17T00:00:00"/>
    <x v="10"/>
  </r>
  <r>
    <n v="-44"/>
    <s v="Santander"/>
    <s v="Account"/>
    <x v="0"/>
    <x v="0"/>
    <d v="2024-11-19T00:00:00"/>
    <x v="10"/>
  </r>
  <r>
    <n v="-107"/>
    <s v="Santander"/>
    <s v="Account"/>
    <x v="9"/>
    <x v="0"/>
    <d v="2024-11-20T00:00:00"/>
    <x v="10"/>
  </r>
  <r>
    <n v="-169"/>
    <s v="Santander"/>
    <s v="Account"/>
    <x v="5"/>
    <x v="0"/>
    <d v="2024-11-21T00:00:00"/>
    <x v="10"/>
  </r>
  <r>
    <n v="-51"/>
    <s v="Santander"/>
    <s v="Account"/>
    <x v="9"/>
    <x v="0"/>
    <d v="2024-11-22T00:00:00"/>
    <x v="10"/>
  </r>
  <r>
    <n v="-80"/>
    <s v="Santander"/>
    <s v="Account"/>
    <x v="0"/>
    <x v="0"/>
    <d v="2024-11-22T00:00:00"/>
    <x v="10"/>
  </r>
  <r>
    <n v="-70"/>
    <s v="Santander"/>
    <s v="Account"/>
    <x v="12"/>
    <x v="0"/>
    <d v="2024-11-22T00:00:00"/>
    <x v="10"/>
  </r>
  <r>
    <n v="-35"/>
    <s v="Santander"/>
    <s v="Account"/>
    <x v="3"/>
    <x v="0"/>
    <d v="2024-11-23T00:00:00"/>
    <x v="10"/>
  </r>
  <r>
    <n v="-11"/>
    <s v="Santander"/>
    <s v="Account"/>
    <x v="8"/>
    <x v="0"/>
    <d v="2024-11-23T00:00:00"/>
    <x v="10"/>
  </r>
  <r>
    <n v="-80"/>
    <s v="Santander"/>
    <s v="Account"/>
    <x v="7"/>
    <x v="0"/>
    <d v="2024-11-25T00:00:00"/>
    <x v="10"/>
  </r>
  <r>
    <n v="-58"/>
    <s v="Santander"/>
    <s v="Account"/>
    <x v="0"/>
    <x v="0"/>
    <d v="2024-11-26T00:00:00"/>
    <x v="10"/>
  </r>
  <r>
    <n v="-52"/>
    <s v="Santander"/>
    <s v="Account"/>
    <x v="8"/>
    <x v="0"/>
    <d v="2024-11-27T00:00:00"/>
    <x v="10"/>
  </r>
  <r>
    <n v="-44"/>
    <s v="Santander"/>
    <s v="Account"/>
    <x v="7"/>
    <x v="0"/>
    <d v="2024-11-27T00:00:00"/>
    <x v="10"/>
  </r>
  <r>
    <n v="-48"/>
    <s v="Santander"/>
    <s v="Account"/>
    <x v="8"/>
    <x v="0"/>
    <d v="2024-11-27T00:00:00"/>
    <x v="10"/>
  </r>
  <r>
    <n v="-65"/>
    <s v="Santander"/>
    <s v="Account"/>
    <x v="5"/>
    <x v="0"/>
    <d v="2024-11-28T00:00:00"/>
    <x v="10"/>
  </r>
  <r>
    <n v="400"/>
    <s v="Wallet"/>
    <s v="Money"/>
    <x v="14"/>
    <x v="1"/>
    <d v="2024-11-29T00:00:00"/>
    <x v="10"/>
  </r>
  <r>
    <n v="-96"/>
    <s v="Santander"/>
    <s v="Account"/>
    <x v="0"/>
    <x v="0"/>
    <d v="2024-11-30T00:00:00"/>
    <x v="10"/>
  </r>
  <r>
    <n v="-50"/>
    <s v="Santander"/>
    <s v="Account"/>
    <x v="0"/>
    <x v="0"/>
    <d v="2024-12-01T00:00:00"/>
    <x v="11"/>
  </r>
  <r>
    <n v="-50"/>
    <s v="Santander"/>
    <s v="Account"/>
    <x v="0"/>
    <x v="0"/>
    <d v="2024-12-01T00:00:00"/>
    <x v="11"/>
  </r>
  <r>
    <n v="-5"/>
    <s v="Santander"/>
    <s v="Account"/>
    <x v="12"/>
    <x v="0"/>
    <d v="2024-12-02T00:00:00"/>
    <x v="11"/>
  </r>
  <r>
    <n v="-100"/>
    <s v="Santander"/>
    <s v="Account"/>
    <x v="5"/>
    <x v="0"/>
    <d v="2024-12-02T00:00:00"/>
    <x v="11"/>
  </r>
  <r>
    <n v="-60"/>
    <s v="Santander"/>
    <s v="Account"/>
    <x v="9"/>
    <x v="0"/>
    <d v="2024-12-02T00:00:00"/>
    <x v="11"/>
  </r>
  <r>
    <n v="-5"/>
    <s v="Santander"/>
    <s v="Account"/>
    <x v="12"/>
    <x v="0"/>
    <d v="2024-12-02T00:00:00"/>
    <x v="11"/>
  </r>
  <r>
    <n v="-100"/>
    <s v="Santander"/>
    <s v="Account"/>
    <x v="5"/>
    <x v="0"/>
    <d v="2024-12-02T00:00:00"/>
    <x v="11"/>
  </r>
  <r>
    <n v="-60"/>
    <s v="Santander"/>
    <s v="Account"/>
    <x v="9"/>
    <x v="0"/>
    <d v="2024-12-02T00:00:00"/>
    <x v="11"/>
  </r>
  <r>
    <n v="-150"/>
    <s v="Santander"/>
    <s v="Account"/>
    <x v="7"/>
    <x v="0"/>
    <d v="2024-12-03T00:00:00"/>
    <x v="11"/>
  </r>
  <r>
    <n v="-150"/>
    <s v="Santander"/>
    <s v="Account"/>
    <x v="7"/>
    <x v="0"/>
    <d v="2024-12-03T00:00:00"/>
    <x v="11"/>
  </r>
  <r>
    <n v="-100"/>
    <s v="Santander"/>
    <s v="Account"/>
    <x v="0"/>
    <x v="0"/>
    <d v="2024-12-06T00:00:00"/>
    <x v="11"/>
  </r>
  <r>
    <n v="-100"/>
    <s v="Santander"/>
    <s v="Account"/>
    <x v="0"/>
    <x v="0"/>
    <d v="2024-12-06T00:00:00"/>
    <x v="11"/>
  </r>
  <r>
    <n v="4500"/>
    <s v="Santander"/>
    <s v="Account"/>
    <x v="1"/>
    <x v="1"/>
    <d v="2024-12-10T00:00:00"/>
    <x v="11"/>
  </r>
  <r>
    <n v="-2000"/>
    <s v="Santander"/>
    <s v="Account"/>
    <x v="2"/>
    <x v="0"/>
    <d v="2024-12-11T00:00:00"/>
    <x v="11"/>
  </r>
  <r>
    <n v="-50"/>
    <s v="Santander"/>
    <s v="Account"/>
    <x v="7"/>
    <x v="0"/>
    <d v="2024-12-14T00:00:00"/>
    <x v="11"/>
  </r>
  <r>
    <n v="-100"/>
    <s v="Santander"/>
    <s v="Account"/>
    <x v="10"/>
    <x v="0"/>
    <d v="2024-12-15T00:00:00"/>
    <x v="11"/>
  </r>
  <r>
    <n v="-100"/>
    <s v="Santander"/>
    <s v="Account"/>
    <x v="0"/>
    <x v="0"/>
    <d v="2024-12-18T00:00:00"/>
    <x v="11"/>
  </r>
  <r>
    <n v="500"/>
    <s v="Wallet"/>
    <s v="Money"/>
    <x v="14"/>
    <x v="1"/>
    <d v="2024-12-22T00:00:00"/>
    <x v="11"/>
  </r>
  <r>
    <n v="-100"/>
    <s v="Wallet"/>
    <s v="Money"/>
    <x v="7"/>
    <x v="0"/>
    <d v="2024-12-23T00:00:00"/>
    <x v="11"/>
  </r>
  <r>
    <n v="1500"/>
    <s v="Wallet"/>
    <s v="Money"/>
    <x v="14"/>
    <x v="1"/>
    <d v="2024-12-24T00:00:00"/>
    <x v="11"/>
  </r>
  <r>
    <n v="-500"/>
    <s v="Wallet"/>
    <s v="Money"/>
    <x v="5"/>
    <x v="0"/>
    <d v="2024-12-28T00:00:00"/>
    <x v="11"/>
  </r>
  <r>
    <n v="-300"/>
    <s v="Wallet"/>
    <s v="Money"/>
    <x v="0"/>
    <x v="0"/>
    <d v="2024-12-30T00:00:00"/>
    <x v="11"/>
  </r>
  <r>
    <n v="1020"/>
    <s v="Santander"/>
    <s v="Account"/>
    <x v="13"/>
    <x v="2"/>
    <d v="2024-08-01T00:00:0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053C4-EBBE-4AD8-ADF7-D0234A42654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O24" firstHeaderRow="1" firstDataRow="2" firstDataCol="2"/>
  <pivotFields count="7">
    <pivotField dataField="1" compact="0" numFmtId="164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17">
        <item x="2"/>
        <item x="6"/>
        <item x="9"/>
        <item x="7"/>
        <item x="11"/>
        <item x="14"/>
        <item x="0"/>
        <item x="12"/>
        <item x="3"/>
        <item x="5"/>
        <item x="4"/>
        <item x="1"/>
        <item x="15"/>
        <item x="10"/>
        <item x="13"/>
        <item x="8"/>
        <item t="default"/>
      </items>
    </pivotField>
    <pivotField axis="axisRow" compact="0" outline="0" subtotalTop="0" showAll="0">
      <items count="4">
        <item x="0"/>
        <item x="1"/>
        <item x="2"/>
        <item t="default"/>
      </items>
    </pivotField>
    <pivotField compact="0" numFmtId="14" outline="0" subtotalTop="0" showAll="0"/>
    <pivotField axis="axisCol" compact="0" outline="0" subtotalTop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2">
    <field x="4"/>
    <field x="3"/>
  </rowFields>
  <rowItems count="20">
    <i>
      <x/>
      <x/>
    </i>
    <i r="1">
      <x v="2"/>
    </i>
    <i r="1">
      <x v="3"/>
    </i>
    <i r="1">
      <x v="6"/>
    </i>
    <i r="1">
      <x v="7"/>
    </i>
    <i r="1">
      <x v="8"/>
    </i>
    <i r="1">
      <x v="9"/>
    </i>
    <i r="1">
      <x v="13"/>
    </i>
    <i r="1">
      <x v="15"/>
    </i>
    <i t="default">
      <x/>
    </i>
    <i>
      <x v="1"/>
      <x v="1"/>
    </i>
    <i r="1">
      <x v="4"/>
    </i>
    <i r="1">
      <x v="5"/>
    </i>
    <i r="1">
      <x v="10"/>
    </i>
    <i r="1">
      <x v="11"/>
    </i>
    <i r="1">
      <x v="12"/>
    </i>
    <i t="default">
      <x v="1"/>
    </i>
    <i>
      <x v="2"/>
      <x v="14"/>
    </i>
    <i t="default">
      <x v="2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Amount" fld="0" baseField="0" baseItem="0" numFmtId="164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57D1B6-8CB6-41EF-B7C0-6B7A43935D50}" name="categories" displayName="categories" ref="A1:B17" totalsRowShown="0" headerRowDxfId="226" dataDxfId="225">
  <autoFilter ref="A1:B17" xr:uid="{E057D1B6-8CB6-41EF-B7C0-6B7A43935D50}"/>
  <sortState xmlns:xlrd2="http://schemas.microsoft.com/office/spreadsheetml/2017/richdata2" ref="A2:B17">
    <sortCondition ref="B2:B17"/>
    <sortCondition ref="A2:A17"/>
  </sortState>
  <tableColumns count="2">
    <tableColumn id="1" xr3:uid="{EFA85139-73EE-4BE7-AD7B-E59AAF3FEC15}" name="Category" dataDxfId="224"/>
    <tableColumn id="2" xr3:uid="{075CD7FF-B2AA-429B-B10B-92D4D28350A0}" name="Type" dataDxfId="223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E69496-763B-448C-AF82-19A4390C5253}" name="products" displayName="products" ref="D1:E8" totalsRowShown="0">
  <autoFilter ref="D1:E8" xr:uid="{54E69496-763B-448C-AF82-19A4390C5253}"/>
  <sortState xmlns:xlrd2="http://schemas.microsoft.com/office/spreadsheetml/2017/richdata2" ref="D2:E8">
    <sortCondition ref="D1:D8"/>
  </sortState>
  <tableColumns count="2">
    <tableColumn id="1" xr3:uid="{BD36A180-7EEC-4A23-8DDE-C44CDBBC09BC}" name="Bank"/>
    <tableColumn id="2" xr3:uid="{9341AE6C-F8B3-426E-B8E7-131EB6DDE52E}" name="Product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4DCFE16D-AE2C-4CA5-80D2-3B8F5AB39DDC}" name="Summary_1" displayName="Summary_1" ref="A1:N18" totalsRowCount="1">
  <autoFilter ref="A1:N17" xr:uid="{4DCFE16D-AE2C-4CA5-80D2-3B8F5AB39DDC}"/>
  <tableColumns count="14">
    <tableColumn id="1" xr3:uid="{9C59180F-4524-4F9E-8788-02F018478566}" name="Category" totalsRowLabel="Total"/>
    <tableColumn id="2" xr3:uid="{E3E2BE66-5AE3-42AE-849F-FB58C780C2BF}" name="Type"/>
    <tableColumn id="3" xr3:uid="{AE0F2F1B-F062-4D0B-BE6C-26E8E91DBCA1}" name="1" totalsRowFunction="sum" dataDxfId="222">
      <calculatedColumnFormula array="1">SUMIFS(operations[[Amount]:[Amount]],operations[[Category]:[Category]],Summary_1[[#This Row],[Category]:[Category]],operations[[Month]:[Month]],Summary_1[[#Headers],[1]])</calculatedColumnFormula>
    </tableColumn>
    <tableColumn id="4" xr3:uid="{8E4AA535-7CDA-4D61-9011-5EC4A11C41BD}" name="2" totalsRowFunction="sum" dataDxfId="221">
      <calculatedColumnFormula array="1">SUMIFS(operations[[Amount]:[Amount]],operations[[Category]:[Category]],Summary_1[[#This Row],[Category]:[Category]],operations[[Month]:[Month]],Summary_1[[#Headers],[2]])</calculatedColumnFormula>
    </tableColumn>
    <tableColumn id="5" xr3:uid="{F596B703-B5C4-4143-8E73-EAB4BAF9673F}" name="3" totalsRowFunction="sum" dataDxfId="220">
      <calculatedColumnFormula array="1">SUMIFS(operations[[Amount]:[Amount]],operations[[Category]:[Category]],Summary_1[[#This Row],[Category]:[Category]],operations[[Month]:[Month]],Summary_1[[#Headers],[3]])</calculatedColumnFormula>
    </tableColumn>
    <tableColumn id="6" xr3:uid="{B6EBBD10-160A-467E-B130-050590294202}" name="4" totalsRowFunction="sum" dataDxfId="219">
      <calculatedColumnFormula array="1">SUMIFS(operations[[Amount]:[Amount]],operations[[Category]:[Category]],Summary_1[[#This Row],[Category]:[Category]],operations[[Month]:[Month]],Summary_1[[#Headers],[4]])</calculatedColumnFormula>
    </tableColumn>
    <tableColumn id="7" xr3:uid="{2F2B99CD-8F20-44F3-A1C6-31B2F81B0B72}" name="5" totalsRowFunction="sum" dataDxfId="218">
      <calculatedColumnFormula array="1">SUMIFS(operations[[Amount]:[Amount]],operations[[Category]:[Category]],Summary_1[[#This Row],[Category]:[Category]],operations[[Month]:[Month]],Summary_1[[#Headers],[5]])</calculatedColumnFormula>
    </tableColumn>
    <tableColumn id="8" xr3:uid="{354EB590-2CB0-45C1-B6C6-357D53D94D87}" name="6" totalsRowFunction="sum" dataDxfId="217">
      <calculatedColumnFormula array="1">SUMIFS(operations[[Amount]:[Amount]],operations[[Category]:[Category]],Summary_1[[#This Row],[Category]:[Category]],operations[[Month]:[Month]],Summary_1[[#Headers],[6]])</calculatedColumnFormula>
    </tableColumn>
    <tableColumn id="9" xr3:uid="{8BC6EFE9-7696-4871-AF2B-421BF5205059}" name="7" totalsRowFunction="sum" dataDxfId="216">
      <calculatedColumnFormula array="1">SUMIFS(operations[[Amount]:[Amount]],operations[[Category]:[Category]],Summary_1[[#This Row],[Category]:[Category]],operations[[Month]:[Month]],Summary_1[[#Headers],[7]])</calculatedColumnFormula>
    </tableColumn>
    <tableColumn id="10" xr3:uid="{A628AEFC-8A91-4C2F-BBDB-0119E620AB3E}" name="8" totalsRowFunction="sum" dataDxfId="215">
      <calculatedColumnFormula array="1">SUMIFS(operations[[Amount]:[Amount]],operations[[Category]:[Category]],Summary_1[[#This Row],[Category]:[Category]],operations[[Month]:[Month]],Summary_1[[#Headers],[8]])</calculatedColumnFormula>
    </tableColumn>
    <tableColumn id="11" xr3:uid="{C1795692-4DBC-43E4-8CF8-2179A8505E40}" name="9" totalsRowFunction="sum" dataDxfId="214">
      <calculatedColumnFormula array="1">SUMIFS(operations[[Amount]:[Amount]],operations[[Category]:[Category]],Summary_1[[#This Row],[Category]:[Category]],operations[[Month]:[Month]],Summary_1[[#Headers],[9]])</calculatedColumnFormula>
    </tableColumn>
    <tableColumn id="12" xr3:uid="{2191B564-1465-438E-8A61-78F50EAA8D88}" name="10" totalsRowFunction="sum" dataDxfId="213">
      <calculatedColumnFormula array="1">SUMIFS(operations[[Amount]:[Amount]],operations[[Category]:[Category]],Summary_1[[#This Row],[Category]:[Category]],operations[[Month]:[Month]],Summary_1[[#Headers],[10]])</calculatedColumnFormula>
    </tableColumn>
    <tableColumn id="13" xr3:uid="{4F3A102D-5472-4D09-85A3-5CC86462EDE3}" name="11" totalsRowFunction="sum" dataDxfId="212">
      <calculatedColumnFormula array="1">SUMIFS(operations[[Amount]:[Amount]],operations[[Category]:[Category]],Summary_1[[#This Row],[Category]:[Category]],operations[[Month]:[Month]],Summary_1[[#Headers],[11]])</calculatedColumnFormula>
    </tableColumn>
    <tableColumn id="14" xr3:uid="{9E5722F3-0CC7-4D1D-9876-B1C126775600}" name="12" totalsRowFunction="sum" dataDxfId="211">
      <calculatedColumnFormula array="1">SUMIFS(operations[[Amount]:[Amount]],operations[[Category]:[Category]],Summary_1[[#This Row],[Category]:[Category]],operations[[Month]:[Month]],Summary_1[[#Headers],[12]])</calculatedColumnFormula>
    </tableColumn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E9A76015-2F82-44E7-A63A-13A03323DC6A}" name="Summary_2" displayName="Summary_2" ref="A1:N21" totalsRowShown="0">
  <autoFilter ref="A1:N21" xr:uid="{E9A76015-2F82-44E7-A63A-13A03323DC6A}"/>
  <tableColumns count="14">
    <tableColumn id="1" xr3:uid="{7BAC0E81-915B-497E-9ECB-1BF2679EB7A4}" name="Category"/>
    <tableColumn id="2" xr3:uid="{E757A8F7-B11D-4A07-B772-AAA5F0217F24}" name="Type" dataDxfId="210"/>
    <tableColumn id="3" xr3:uid="{784D5A81-EAC7-49CD-9814-3D65DE50EC0B}" name="1"/>
    <tableColumn id="4" xr3:uid="{741C664B-F9FF-435A-B963-F253788AA36D}" name="2"/>
    <tableColumn id="5" xr3:uid="{9CD7C87B-A903-402D-BEF6-9F703C856DB5}" name="3"/>
    <tableColumn id="6" xr3:uid="{FD3D7C3F-8FC3-4C60-9B31-6D89F61D2A8F}" name="4"/>
    <tableColumn id="7" xr3:uid="{82BAC7CE-CB2A-4C96-B72A-22953DDFB8B4}" name="5"/>
    <tableColumn id="8" xr3:uid="{C2FAA0C5-BD17-4E35-BBE5-EE03F8E9C614}" name="6"/>
    <tableColumn id="9" xr3:uid="{0EED49A7-23F1-4737-AF32-6D51C894A6D3}" name="7"/>
    <tableColumn id="10" xr3:uid="{E16073E6-7DCE-4BEC-AC3B-6EF42E9CE627}" name="8"/>
    <tableColumn id="11" xr3:uid="{099E2C88-3579-4341-9F36-34BA90238322}" name="9"/>
    <tableColumn id="12" xr3:uid="{A620C78F-5923-4446-9271-51B7AAF4A6B0}" name="10"/>
    <tableColumn id="13" xr3:uid="{1A44E917-6B71-4D97-B4A4-A176D555CA0F}" name="11"/>
    <tableColumn id="14" xr3:uid="{3A02AD39-14BB-442D-9F84-5C1F1D4B414C}" name="12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450D63-B0D7-4B45-8DCF-D89122735776}" name="operations" displayName="operations" ref="A1:G208" totalsRowShown="0" headerRowDxfId="209" dataDxfId="208">
  <autoFilter ref="A1:G208" xr:uid="{64450D63-B0D7-4B45-8DCF-D89122735776}"/>
  <tableColumns count="7">
    <tableColumn id="1" xr3:uid="{F31D2BAE-37FF-4050-A44C-C98DA1E3027C}" name="Amount" dataDxfId="207"/>
    <tableColumn id="2" xr3:uid="{8E3E8CFA-825C-4B90-9834-7F24E2F22021}" name="Bank" dataDxfId="206"/>
    <tableColumn id="3" xr3:uid="{77F675C6-0EDC-40F1-A5B7-465EFCAD52E4}" name="Product" dataDxfId="205"/>
    <tableColumn id="4" xr3:uid="{A2C02F71-7DB3-4EEA-A87C-7532F98A0402}" name="Category" dataDxfId="204"/>
    <tableColumn id="5" xr3:uid="{FADF44E3-D1C8-4B7C-8872-B97CB8ACDDDE}" name="Type" dataDxfId="203">
      <calculatedColumnFormula>_xlfn.XLOOKUP(operations[[#This Row],[Category]],categories[Category],categories[Type],"",0,1)</calculatedColumnFormula>
    </tableColumn>
    <tableColumn id="6" xr3:uid="{0B80BE73-330A-48D9-BFAB-AA4283C36222}" name="Date" dataDxfId="202"/>
    <tableColumn id="7" xr3:uid="{D9ABFA6F-B652-4154-9A9E-A1E3C949F029}" name="Month" dataDxfId="201">
      <calculatedColumnFormula>MONTH(operations[[#This Row],[Date]])</calculatedColumnFormula>
    </tableColumn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A537100-D967-4331-B419-EEE51BA9156B}" name="flows" displayName="flows" ref="A1:N9" totalsRowShown="0">
  <autoFilter ref="A1:N9" xr:uid="{3A537100-D967-4331-B419-EEE51BA9156B}"/>
  <tableColumns count="14">
    <tableColumn id="1" xr3:uid="{E5908707-384F-47BF-8016-A276B659782F}" name="Bank"/>
    <tableColumn id="2" xr3:uid="{9192D99F-FC99-42CA-98A3-F6E06B53EEED}" name="Product"/>
    <tableColumn id="3" xr3:uid="{B656A6BB-ADDD-40B7-B783-EBB87C7679D1}" name="1" dataDxfId="200">
      <calculatedColumnFormula array="1">SUMIFS(operations[[Amount]:[Amount]],operations[[Bank]:[Bank]],flows[[#This Row],[Bank]:[Bank]],operations[[Month]:[Month]],flows[[#Headers],[1]],operations[[Product]:[Product]],flows[[#This Row],[Product]:[Product]])</calculatedColumnFormula>
    </tableColumn>
    <tableColumn id="4" xr3:uid="{E7040651-B600-44AF-96CA-6EDF9ED61657}" name="2" dataDxfId="199"/>
    <tableColumn id="5" xr3:uid="{CD49E7D2-2C1F-4140-A963-7ED86235B0D5}" name="3" dataDxfId="198"/>
    <tableColumn id="6" xr3:uid="{74D4990C-6263-4543-9CC5-BB687107BE99}" name="4" dataDxfId="197"/>
    <tableColumn id="7" xr3:uid="{F6A102A0-18D4-412C-9597-3BAA7439FA8B}" name="5" dataDxfId="196"/>
    <tableColumn id="8" xr3:uid="{553C9FDC-F98B-4C6D-87EF-DEAA18510264}" name="6" dataDxfId="195"/>
    <tableColumn id="9" xr3:uid="{ACCE7FE7-EE29-4190-AF84-6368AB4F168E}" name="7" dataDxfId="194"/>
    <tableColumn id="10" xr3:uid="{5D7996DC-0523-45DC-BC70-F63175A0F10C}" name="8" dataDxfId="193"/>
    <tableColumn id="11" xr3:uid="{A8F9387E-F60B-4CFE-8253-DAEB7122185A}" name="9" dataDxfId="192"/>
    <tableColumn id="12" xr3:uid="{F3B2901D-EA19-4EED-8174-7BA04CD03983}" name="10" dataDxfId="191"/>
    <tableColumn id="13" xr3:uid="{0156EADE-1F2F-4211-8525-61C8E86349BE}" name="11" dataDxfId="190"/>
    <tableColumn id="14" xr3:uid="{57593AAD-ABB3-468D-8536-16985653899C}" name="12" dataDxfId="189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A7024CC-AB5C-4EC3-897F-14E3996AD225}" name="raport_1" displayName="raport_1" ref="A1:E9" totalsRowCount="1" totalsRowDxfId="188">
  <autoFilter ref="A1:E8" xr:uid="{9A7024CC-AB5C-4EC3-897F-14E3996AD225}"/>
  <tableColumns count="5">
    <tableColumn id="1" xr3:uid="{0B29E423-5557-4A55-85D7-A28767C97BD9}" name="Bank" totalsRowLabel="Total" totalsRowDxfId="187"/>
    <tableColumn id="2" xr3:uid="{B2ED1D3A-C562-45CB-BFDB-33BAE3FAD3B4}" name="Product" totalsRowDxfId="186"/>
    <tableColumn id="3" xr3:uid="{F248030A-FB96-4AA2-8063-2BEFE4901799}" name="Opening balance" totalsRowFunction="sum" dataDxfId="185"/>
    <tableColumn id="4" xr3:uid="{A658CA41-0BCF-4C4E-8FC7-F9D5A379D802}" name="Operations" totalsRowFunction="sum" dataDxfId="184">
      <calculatedColumnFormula>SUMIFS(operations[Amount],operations[Bank],raport_1[[#This Row],[Bank]],operations[Product],raport_1[[#This Row],[Product]],operations[Month],$B$11)</calculatedColumnFormula>
    </tableColumn>
    <tableColumn id="5" xr3:uid="{B1641F38-E1E5-458F-B632-CEB9338EFE8D}" name="Closing balance" totalsRowFunction="sum" dataDxfId="183">
      <calculatedColumnFormula>raport_1[[#This Row],[Opening balance]]+raport_1[[#This Row],[Operations]]</calculatedColumnFormula>
    </tableColumn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57EDEB9-D9BD-4812-A92C-DDBD6AEB9F7C}" name="Income_1" displayName="Income_1" ref="G1:H8" totalsRowCount="1">
  <autoFilter ref="G1:H7" xr:uid="{557EDEB9-D9BD-4812-A92C-DDBD6AEB9F7C}"/>
  <tableColumns count="2">
    <tableColumn id="1" xr3:uid="{B4733B12-0DC5-47D1-BFBF-534F249A8505}" name="Category" totalsRowLabel="Total" dataDxfId="182"/>
    <tableColumn id="2" xr3:uid="{EA4A3680-EBFA-4B96-8687-A9514F131EAC}" name="Total" totalsRowFunction="sum" dataDxfId="181" totalsRowDxfId="180">
      <calculatedColumnFormula>SUMIFS(operations[Amount],operations[Category],Income_1[[#This Row],[Category]],operations[Month],$B$11)</calculatedColumnFormula>
    </tableColumn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1C4733A-9FB1-4B38-85B5-84C3C2040539}" name="Expenses_1" displayName="Expenses_1" ref="J1:K11" totalsRowCount="1">
  <autoFilter ref="J1:K10" xr:uid="{B1C4733A-9FB1-4B38-85B5-84C3C2040539}"/>
  <tableColumns count="2">
    <tableColumn id="1" xr3:uid="{3A42A04B-597F-4933-B2BE-89B5A7D09CC4}" name="Category" totalsRowLabel="Total"/>
    <tableColumn id="2" xr3:uid="{DF647CDF-CAA6-40B4-804C-41ACF6DCAD96}" name="Total" totalsRowFunction="sum" dataDxfId="179" totalsRowDxfId="178">
      <calculatedColumnFormula>SUMIFS(operations[Amount],operations[Category],Expenses_1[[#This Row],[Category]],operations[Month],$B$11)</calculatedColumnFormula>
    </tableColumn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1EC8A0C-5FC1-4468-A2D5-B89BAFA10F89}" name="Balance_1" displayName="Balance_1" ref="A13:B17" totalsRowCount="1">
  <autoFilter ref="A13:B16" xr:uid="{91EC8A0C-5FC1-4468-A2D5-B89BAFA10F89}"/>
  <tableColumns count="2">
    <tableColumn id="1" xr3:uid="{6F571D3D-453C-4BC1-A4FE-2BEFF2BC4BEE}" name="Type" totalsRowLabel="Total"/>
    <tableColumn id="2" xr3:uid="{7D81E68F-F255-4036-9697-54F79AF5D1E8}" name="Total" totalsRowFunction="sum" dataDxfId="177" totalsRowDxfId="176">
      <calculatedColumnFormula>SUMIFS(operations[Amount],operations[Type],Balance_1[[#This Row],[Type]],operations[Month],$B$11)</calculatedColumnFormula>
    </tableColumn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F71016-29E3-441A-8B12-399D5A945A45}" name="Raport_2" displayName="Raport_2" ref="A1:E9" totalsRowCount="1" totalsRowDxfId="175">
  <autoFilter ref="A1:E8" xr:uid="{9A7024CC-AB5C-4EC3-897F-14E3996AD225}"/>
  <tableColumns count="5">
    <tableColumn id="1" xr3:uid="{4FF5881A-0089-47F3-8AF6-3F3D9FDF1086}" name="Bank" totalsRowLabel="Total" totalsRowDxfId="174"/>
    <tableColumn id="2" xr3:uid="{9662ADF5-A2F0-4698-AFFB-D5DF998C2814}" name="Product" totalsRowDxfId="173"/>
    <tableColumn id="3" xr3:uid="{589E9CC7-E8FB-4EB9-BCB5-D29E7597C9E3}" name="Opening balance" totalsRowFunction="sum" dataDxfId="172" totalsRowDxfId="171">
      <calculatedColumnFormula array="1">INDIRECT("raport_" &amp; $B$11-1 &amp; "[@[Closing balance]]")</calculatedColumnFormula>
    </tableColumn>
    <tableColumn id="4" xr3:uid="{B16AC186-EAEA-4E33-A42B-943473B0C892}" name="Operations" totalsRowFunction="sum" dataDxfId="170" totalsRowDxfId="169">
      <calculatedColumnFormula>SUMIFS(operations[Amount],operations[Bank],Raport_2[[#This Row],[Bank]],operations[Product],Raport_2[[#This Row],[Product]],operations[Month],$B$11)</calculatedColumnFormula>
    </tableColumn>
    <tableColumn id="5" xr3:uid="{757AC3F0-EEB1-42B3-9A95-1760498C6C21}" name="Closing balance" totalsRowFunction="sum" dataDxfId="168" totalsRowDxfId="167">
      <calculatedColumnFormula>Raport_2[[#This Row],[Opening balance]]+Raport_2[[#This Row],[Operations]]</calculatedColumnFormula>
    </tableColumn>
  </tableColumns>
  <tableStyleInfo name="TableStyleLight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575F9D-A379-44B3-A779-F49DAE12866E}" name="Income_2" displayName="Income_2" ref="G1:H8" totalsRowCount="1">
  <autoFilter ref="G1:H7" xr:uid="{557EDEB9-D9BD-4812-A92C-DDBD6AEB9F7C}"/>
  <tableColumns count="2">
    <tableColumn id="1" xr3:uid="{442FAFD4-7291-4EA4-A855-4E7D429AC7F6}" name="Category" totalsRowLabel="Total" dataDxfId="166"/>
    <tableColumn id="2" xr3:uid="{56ACD413-9622-4814-828F-9327819B38BF}" name="Total" totalsRowFunction="sum" dataDxfId="165" totalsRowDxfId="164">
      <calculatedColumnFormula>SUMIFS(operations[Amount],operations[Category],Income_2[[#This Row],[Category]],operations[Month],$B$11)</calculatedColumnFormula>
    </tableColumn>
  </tableColumns>
  <tableStyleInfo name="TableStyleLight1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9B4AB3C-638E-4307-86E5-5F8A8F4A4D62}" name="Expenses_2" displayName="Expenses_2" ref="J1:K11" totalsRowCount="1">
  <autoFilter ref="J1:K10" xr:uid="{B1C4733A-9FB1-4B38-85B5-84C3C2040539}"/>
  <tableColumns count="2">
    <tableColumn id="1" xr3:uid="{A8E9A7B4-879E-427F-82AC-1E0238900508}" name="Category" totalsRowLabel="Total"/>
    <tableColumn id="2" xr3:uid="{11059E7E-0718-443D-8281-C2E7156AA468}" name="Total" totalsRowFunction="sum" dataDxfId="163" totalsRowDxfId="162">
      <calculatedColumnFormula>SUMIFS(operations[Amount],operations[Category],Expenses_2[[#This Row],[Category]],operations[Month],$B$11)</calculatedColumnFormula>
    </tableColumn>
  </tableColumns>
  <tableStyleInfo name="TableStyleLight1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896A03E-6AB2-4765-929E-9D36C1E9F91E}" name="Balance_2" displayName="Balance_2" ref="A13:B17" totalsRowCount="1">
  <autoFilter ref="A13:B16" xr:uid="{91EC8A0C-5FC1-4468-A2D5-B89BAFA10F89}"/>
  <tableColumns count="2">
    <tableColumn id="1" xr3:uid="{732538F4-675F-42E6-8B7F-E1E2813A4D7B}" name="Type" totalsRowLabel="Total"/>
    <tableColumn id="2" xr3:uid="{0B6F449D-7DAA-45CE-BD4A-4A8A04CF4353}" name="Total" totalsRowFunction="sum" dataDxfId="161" totalsRowDxfId="160">
      <calculatedColumnFormula>SUMIFS(operations[Amount],operations[Type],Balance_2[[#This Row],[Type]],operations[Month],$B$11)</calculatedColumnFormula>
    </tableColumn>
  </tableColumns>
  <tableStyleInfo name="TableStyleLight1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BF5692B-3822-460A-9132-71D03CA3ACD1}" name="Raport_4" displayName="Raport_4" ref="A1:E9" totalsRowCount="1" totalsRowDxfId="159">
  <autoFilter ref="A1:E8" xr:uid="{9A7024CC-AB5C-4EC3-897F-14E3996AD225}"/>
  <tableColumns count="5">
    <tableColumn id="1" xr3:uid="{92AAB54B-8A66-4A2D-A807-3943DD567961}" name="Bank" totalsRowLabel="Total" totalsRowDxfId="158"/>
    <tableColumn id="2" xr3:uid="{2FD4D751-A22B-42EE-A37C-CAF0503DEF7B}" name="Product" totalsRowDxfId="157"/>
    <tableColumn id="3" xr3:uid="{4ACA3A7E-CD10-4213-82B9-3ACE3F1CBA05}" name="Opening balance" totalsRowFunction="sum" dataDxfId="156" totalsRowDxfId="155">
      <calculatedColumnFormula array="1">INDIRECT("raport_" &amp; $B$11-1 &amp; "[@[Closing balance]]")</calculatedColumnFormula>
    </tableColumn>
    <tableColumn id="4" xr3:uid="{CDCE69CA-8F4E-4CB7-A084-1173E811EB80}" name="Operations" totalsRowFunction="sum" dataDxfId="154" totalsRowDxfId="153">
      <calculatedColumnFormula>SUMIFS(operations[Amount],operations[Bank],Raport_4[[#This Row],[Bank]],operations[Product],Raport_4[[#This Row],[Product]],operations[Month],$B$11)</calculatedColumnFormula>
    </tableColumn>
    <tableColumn id="5" xr3:uid="{B48119F4-C779-4C2F-9303-8F8C36232FF3}" name="Closing balance" totalsRowFunction="sum" dataDxfId="152" totalsRowDxfId="151">
      <calculatedColumnFormula>Raport_4[[#This Row],[Opening balance]]+Raport_4[[#This Row],[Operations]]</calculatedColumnFormula>
    </tableColumn>
  </tableColumns>
  <tableStyleInfo name="TableStyleLight1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2F53723-1C5A-4EAF-ADB6-66056681A071}" name="Income_4" displayName="Income_4" ref="G1:H8" totalsRowCount="1">
  <autoFilter ref="G1:H7" xr:uid="{557EDEB9-D9BD-4812-A92C-DDBD6AEB9F7C}"/>
  <tableColumns count="2">
    <tableColumn id="1" xr3:uid="{9548E8E2-154B-419E-B46D-90C2C8432D39}" name="Category" totalsRowLabel="Total" dataDxfId="150"/>
    <tableColumn id="2" xr3:uid="{C9A4D30A-B394-4988-A78D-1876372880C4}" name="Total" totalsRowFunction="sum" dataDxfId="149" totalsRowDxfId="148">
      <calculatedColumnFormula>SUMIFS(operations[Amount],operations[Category],Income_4[[#This Row],[Category]],operations[Month],$B$11)</calculatedColumnFormula>
    </tableColumn>
  </tableColumns>
  <tableStyleInfo name="TableStyleLight10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7081466-4AC3-4CD8-A755-CD615F3E1335}" name="Expenses_4" displayName="Expenses_4" ref="J1:K11" totalsRowCount="1">
  <autoFilter ref="J1:K10" xr:uid="{B1C4733A-9FB1-4B38-85B5-84C3C2040539}"/>
  <tableColumns count="2">
    <tableColumn id="1" xr3:uid="{AE0455CE-F1B2-4D74-AEC7-9A80ABF911A7}" name="Category" totalsRowLabel="Total"/>
    <tableColumn id="2" xr3:uid="{342F066E-3169-4CD9-8805-C43BEDA33870}" name="Total" totalsRowFunction="sum" dataDxfId="147" totalsRowDxfId="146">
      <calculatedColumnFormula>SUMIFS(operations[Amount],operations[Category],Expenses_4[[#This Row],[Category]],operations[Month],$B$11)</calculatedColumnFormula>
    </tableColumn>
  </tableColumns>
  <tableStyleInfo name="TableStyleLight10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6E6BE29-2F02-4B24-B4F9-CE45AFC55AA8}" name="Balance_4" displayName="Balance_4" ref="A13:B17" totalsRowCount="1">
  <autoFilter ref="A13:B16" xr:uid="{91EC8A0C-5FC1-4468-A2D5-B89BAFA10F89}"/>
  <tableColumns count="2">
    <tableColumn id="1" xr3:uid="{055D45A1-088D-461F-9463-CA4CA3B917E3}" name="Type" totalsRowLabel="Total"/>
    <tableColumn id="2" xr3:uid="{8493BB59-F19E-4F86-8F44-EAD72C1E8820}" name="Total" totalsRowFunction="sum" dataDxfId="145" totalsRowDxfId="144">
      <calculatedColumnFormula>SUMIFS(operations[Amount],operations[Type],Balance_4[[#This Row],[Type]],operations[Month],$B$11)</calculatedColumnFormula>
    </tableColumn>
  </tableColumns>
  <tableStyleInfo name="TableStyleLight10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9069779-EEA2-44B8-BF33-9F44D162E942}" name="Raport_3" displayName="Raport_3" ref="A1:E9" totalsRowCount="1" totalsRowDxfId="143">
  <autoFilter ref="A1:E8" xr:uid="{9A7024CC-AB5C-4EC3-897F-14E3996AD225}"/>
  <tableColumns count="5">
    <tableColumn id="1" xr3:uid="{F983605E-2FE1-4CC1-9D64-5D7A4C6098D2}" name="Bank" totalsRowLabel="Total" totalsRowDxfId="142"/>
    <tableColumn id="2" xr3:uid="{5C732EC4-34D0-4485-8D78-4DB6F889F8A8}" name="Product" totalsRowDxfId="141"/>
    <tableColumn id="3" xr3:uid="{DCCA8236-744D-4C8B-AB1E-C36A053E73E4}" name="Opening balance" totalsRowFunction="sum" dataDxfId="140" totalsRowDxfId="139">
      <calculatedColumnFormula array="1">INDIRECT("raport_" &amp; $B$11-1 &amp; "[@[Closing balance]]")</calculatedColumnFormula>
    </tableColumn>
    <tableColumn id="4" xr3:uid="{08E6B8BB-818C-4859-9FAA-7A6547576331}" name="Operations" totalsRowFunction="sum" dataDxfId="138" totalsRowDxfId="137">
      <calculatedColumnFormula>SUMIFS(operations[Amount],operations[Bank],Raport_3[[#This Row],[Bank]],operations[Product],Raport_3[[#This Row],[Product]],operations[Month],$B$11)</calculatedColumnFormula>
    </tableColumn>
    <tableColumn id="5" xr3:uid="{40327CAA-4040-48F7-ABE0-D9A75303FF1E}" name="Closing balance" totalsRowFunction="sum" dataDxfId="136" totalsRowDxfId="135">
      <calculatedColumnFormula>Raport_3[[#This Row],[Opening balance]]+Raport_3[[#This Row],[Operations]]</calculatedColumnFormula>
    </tableColumn>
  </tableColumns>
  <tableStyleInfo name="TableStyleLight10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7779F9-2C37-4D0C-A4CB-E94092716BB0}" name="Income_3" displayName="Income_3" ref="G1:H8" totalsRowCount="1">
  <autoFilter ref="G1:H7" xr:uid="{557EDEB9-D9BD-4812-A92C-DDBD6AEB9F7C}"/>
  <tableColumns count="2">
    <tableColumn id="1" xr3:uid="{AC1B33B5-5721-4D69-8225-E75A5D5C663D}" name="Category" totalsRowLabel="Total" dataDxfId="134"/>
    <tableColumn id="2" xr3:uid="{38017A8F-E155-4CBD-89BE-0BC48D5BBEAC}" name="Total" totalsRowFunction="sum" dataDxfId="133" totalsRowDxfId="132">
      <calculatedColumnFormula>SUMIFS(operations[Amount],operations[Category],Income_3[[#This Row],[Category]],operations[Month],$B$11)</calculatedColumnFormula>
    </tableColumn>
  </tableColumns>
  <tableStyleInfo name="TableStyleLight10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BD454EA-CDEE-49D9-B703-A5E5BEAC35D3}" name="Expenses_3" displayName="Expenses_3" ref="J1:K11" totalsRowCount="1">
  <autoFilter ref="J1:K10" xr:uid="{B1C4733A-9FB1-4B38-85B5-84C3C2040539}"/>
  <tableColumns count="2">
    <tableColumn id="1" xr3:uid="{943D8CDC-76AB-498D-B6DB-965349DC4936}" name="Category" totalsRowLabel="Total"/>
    <tableColumn id="2" xr3:uid="{328E20BB-C5AC-4C3E-BA5D-6BC0365C3222}" name="Total" totalsRowFunction="sum" dataDxfId="131" totalsRowDxfId="130">
      <calculatedColumnFormula>SUMIFS(operations[Amount],operations[Category],Expenses_3[[#This Row],[Category]],operations[Month],$B$11)</calculatedColumnFormula>
    </tableColumn>
  </tableColumns>
  <tableStyleInfo name="TableStyleLight10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33FAC25-FF31-4BAE-B465-511302B49A20}" name="Balance_3" displayName="Balance_3" ref="A13:B17" totalsRowCount="1">
  <autoFilter ref="A13:B16" xr:uid="{91EC8A0C-5FC1-4468-A2D5-B89BAFA10F89}"/>
  <tableColumns count="2">
    <tableColumn id="1" xr3:uid="{F76BE956-6919-4F06-9318-F1FE36E00FD0}" name="Type" totalsRowLabel="Total"/>
    <tableColumn id="2" xr3:uid="{04AFF511-5182-4228-B644-6199B1B2678E}" name="Total" totalsRowFunction="sum" dataDxfId="129" totalsRowDxfId="128">
      <calculatedColumnFormula>SUMIFS(operations[Amount],operations[Type],Balance_3[[#This Row],[Type]],operations[Month],$B$11)</calculatedColumnFormula>
    </tableColumn>
  </tableColumns>
  <tableStyleInfo name="TableStyleLight10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0182FD6-C4D0-49C2-A699-FB845F01CDF6}" name="Raport_5" displayName="Raport_5" ref="A1:E9" totalsRowCount="1" totalsRowDxfId="127">
  <autoFilter ref="A1:E8" xr:uid="{9A7024CC-AB5C-4EC3-897F-14E3996AD225}"/>
  <tableColumns count="5">
    <tableColumn id="1" xr3:uid="{CC0F4366-2F58-4E0C-9169-73E6E16479BE}" name="Bank" totalsRowLabel="Total" totalsRowDxfId="126"/>
    <tableColumn id="2" xr3:uid="{5B8C1D5E-344B-4284-99C6-53D2FE43C49C}" name="Product" totalsRowDxfId="125"/>
    <tableColumn id="3" xr3:uid="{58A43361-CABD-4B0B-B0CB-0E8BFEF63EAA}" name="Opening balance" totalsRowFunction="sum" dataDxfId="124" totalsRowDxfId="123">
      <calculatedColumnFormula array="1">INDIRECT("raport_" &amp; $B$11-1 &amp; "[@[Closing balance]]")</calculatedColumnFormula>
    </tableColumn>
    <tableColumn id="4" xr3:uid="{BC4AAF59-87AD-4250-AE79-C3AAF8AF93DD}" name="Operations" totalsRowFunction="sum" dataDxfId="122" totalsRowDxfId="121">
      <calculatedColumnFormula>SUMIFS(operations[Amount],operations[Bank],Raport_5[[#This Row],[Bank]],operations[Product],Raport_5[[#This Row],[Product]],operations[Month],$B$11)</calculatedColumnFormula>
    </tableColumn>
    <tableColumn id="5" xr3:uid="{7D6103CC-3A1F-4C88-96F8-8AAD4EAD3B17}" name="Closing balance" totalsRowFunction="sum" dataDxfId="120" totalsRowDxfId="119">
      <calculatedColumnFormula>Raport_5[[#This Row],[Opening balance]]+Raport_5[[#This Row],[Operations]]</calculatedColumnFormula>
    </tableColumn>
  </tableColumns>
  <tableStyleInfo name="TableStyleLight10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F870BBB-F187-4303-8E71-861A7E953480}" name="Income_5" displayName="Income_5" ref="G1:H8" totalsRowCount="1">
  <autoFilter ref="G1:H7" xr:uid="{557EDEB9-D9BD-4812-A92C-DDBD6AEB9F7C}"/>
  <tableColumns count="2">
    <tableColumn id="1" xr3:uid="{E217A5F5-7C38-452B-8A2B-97790118DBD8}" name="Category" totalsRowLabel="Total" dataDxfId="118"/>
    <tableColumn id="2" xr3:uid="{36235AD1-56AA-4405-9FBF-9475A8A3B4EB}" name="Total" totalsRowFunction="sum" dataDxfId="117" totalsRowDxfId="116">
      <calculatedColumnFormula>SUMIFS(operations[Amount],operations[Category],Income_5[[#This Row],[Category]],operations[Month],$B$11)</calculatedColumnFormula>
    </tableColumn>
  </tableColumns>
  <tableStyleInfo name="TableStyleLight10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0143D11-D5DE-4732-9AB9-5827D493A983}" name="Expenses_5" displayName="Expenses_5" ref="J1:K11" totalsRowCount="1">
  <autoFilter ref="J1:K10" xr:uid="{B1C4733A-9FB1-4B38-85B5-84C3C2040539}"/>
  <tableColumns count="2">
    <tableColumn id="1" xr3:uid="{A274F657-B46C-41C1-9262-61E699EF712F}" name="Category" totalsRowLabel="Total"/>
    <tableColumn id="2" xr3:uid="{D35C0231-88E3-46FA-B791-5587B98AF66A}" name="Total" totalsRowFunction="sum" dataDxfId="115" totalsRowDxfId="114">
      <calculatedColumnFormula>SUMIFS(operations[Amount],operations[Category],Expenses_5[[#This Row],[Category]],operations[Month],$B$11)</calculatedColumnFormula>
    </tableColumn>
  </tableColumns>
  <tableStyleInfo name="TableStyleLight10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5535503-3AAF-4D39-A5EB-14646FFF4826}" name="Balance_5" displayName="Balance_5" ref="A13:B17" totalsRowCount="1">
  <autoFilter ref="A13:B16" xr:uid="{91EC8A0C-5FC1-4468-A2D5-B89BAFA10F89}"/>
  <tableColumns count="2">
    <tableColumn id="1" xr3:uid="{DB28210A-0E68-4324-A818-142D53A2005F}" name="Type" totalsRowLabel="Total"/>
    <tableColumn id="2" xr3:uid="{37B27A35-0E14-4D8F-9F62-16A6B2B52CA1}" name="Total" totalsRowFunction="sum" dataDxfId="113" totalsRowDxfId="112">
      <calculatedColumnFormula>SUMIFS(operations[Amount],operations[Type],Balance_5[[#This Row],[Type]],operations[Month],$B$11)</calculatedColumnFormula>
    </tableColumn>
  </tableColumns>
  <tableStyleInfo name="TableStyleLight10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F261EF4-7CC1-43D5-B374-891D77225F32}" name="Raport_6" displayName="Raport_6" ref="A1:E9" totalsRowCount="1" totalsRowDxfId="111">
  <autoFilter ref="A1:E8" xr:uid="{9A7024CC-AB5C-4EC3-897F-14E3996AD225}"/>
  <tableColumns count="5">
    <tableColumn id="1" xr3:uid="{3CC0B4F5-BF9A-436F-BA7A-F6674D91B519}" name="Bank" totalsRowLabel="Total" totalsRowDxfId="110"/>
    <tableColumn id="2" xr3:uid="{97F044AE-1B25-42A0-8A6C-E8A70941E68B}" name="Product" totalsRowDxfId="109"/>
    <tableColumn id="3" xr3:uid="{570F2B4B-072E-479F-9B73-2E860515BFC9}" name="Opening balance" totalsRowFunction="sum" dataDxfId="108" totalsRowDxfId="107">
      <calculatedColumnFormula array="1">INDIRECT("raport_" &amp; $B$11-1 &amp; "[@[Closing balance]]")</calculatedColumnFormula>
    </tableColumn>
    <tableColumn id="4" xr3:uid="{61B2E6F0-5BF2-4074-AAFE-BE4B5ADAC0EB}" name="Operations" totalsRowFunction="sum" dataDxfId="106" totalsRowDxfId="105">
      <calculatedColumnFormula>SUMIFS(operations[Amount],operations[Bank],Raport_6[[#This Row],[Bank]],operations[Product],Raport_6[[#This Row],[Product]],operations[Month],$B$11)</calculatedColumnFormula>
    </tableColumn>
    <tableColumn id="5" xr3:uid="{6D503B8F-A748-43D9-8F84-039C59C25ECD}" name="Closing balance" totalsRowFunction="sum" dataDxfId="104" totalsRowDxfId="103">
      <calculatedColumnFormula>Raport_6[[#This Row],[Opening balance]]+Raport_6[[#This Row],[Operations]]</calculatedColumnFormula>
    </tableColumn>
  </tableColumns>
  <tableStyleInfo name="TableStyleLight10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C4744A3-606B-4E8B-B7E6-9072207CB369}" name="Income_6" displayName="Income_6" ref="G1:H8" totalsRowCount="1">
  <autoFilter ref="G1:H7" xr:uid="{557EDEB9-D9BD-4812-A92C-DDBD6AEB9F7C}"/>
  <tableColumns count="2">
    <tableColumn id="1" xr3:uid="{6BF83D70-A94D-4201-81F2-F40BC3D7ADE4}" name="Category" totalsRowLabel="Total" dataDxfId="102"/>
    <tableColumn id="2" xr3:uid="{2BD5EE21-4C95-4A1A-B454-DB1598714A2F}" name="Total" totalsRowFunction="sum" dataDxfId="101" totalsRowDxfId="100">
      <calculatedColumnFormula>SUMIFS(operations[Amount],operations[Category],Income_6[[#This Row],[Category]],operations[Month],$B$11)</calculatedColumnFormula>
    </tableColumn>
  </tableColumns>
  <tableStyleInfo name="TableStyleLight10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1F10E0D-21D6-45EB-A7B8-1E2EF2ED8BDA}" name="Expenses_6" displayName="Expenses_6" ref="J1:K11" totalsRowCount="1">
  <autoFilter ref="J1:K10" xr:uid="{B1C4733A-9FB1-4B38-85B5-84C3C2040539}"/>
  <tableColumns count="2">
    <tableColumn id="1" xr3:uid="{7D2CA3FE-7BAC-4B0E-A0C5-1D497D1C7E70}" name="Category" totalsRowLabel="Total"/>
    <tableColumn id="2" xr3:uid="{C3295C10-5AEA-4456-94C8-BCF856014F5A}" name="Total" totalsRowFunction="sum" dataDxfId="99" totalsRowDxfId="98">
      <calculatedColumnFormula>SUMIFS(operations[Amount],operations[Category],Expenses_6[[#This Row],[Category]],operations[Month],$B$11)</calculatedColumnFormula>
    </tableColumn>
  </tableColumns>
  <tableStyleInfo name="TableStyleLight10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5593A45-72A2-4816-8B1E-8A1241A7E8C3}" name="Balance_6" displayName="Balance_6" ref="A13:B17" totalsRowCount="1">
  <autoFilter ref="A13:B16" xr:uid="{91EC8A0C-5FC1-4468-A2D5-B89BAFA10F89}"/>
  <tableColumns count="2">
    <tableColumn id="1" xr3:uid="{6AEA47DC-A8EC-420E-8611-2DF2053F751A}" name="Type" totalsRowLabel="Total"/>
    <tableColumn id="2" xr3:uid="{C33D41CB-4C0A-4364-B0C7-9889DC998714}" name="Total" totalsRowFunction="sum" dataDxfId="97" totalsRowDxfId="96">
      <calculatedColumnFormula>SUMIFS(operations[Amount],operations[Type],Balance_6[[#This Row],[Type]],operations[Month],$B$11)</calculatedColumnFormula>
    </tableColumn>
  </tableColumns>
  <tableStyleInfo name="TableStyleLight10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090ED2E-D7E1-4796-B777-3E2092DD740B}" name="Raport_7" displayName="Raport_7" ref="A1:E9" totalsRowCount="1" totalsRowDxfId="95">
  <autoFilter ref="A1:E8" xr:uid="{9A7024CC-AB5C-4EC3-897F-14E3996AD225}"/>
  <tableColumns count="5">
    <tableColumn id="1" xr3:uid="{7289F464-F45E-47F4-A68C-C04ACF76F298}" name="Bank" totalsRowLabel="Total" totalsRowDxfId="94"/>
    <tableColumn id="2" xr3:uid="{A2C5F5D6-5538-4ADD-AA93-291B47E32726}" name="Product" totalsRowDxfId="93"/>
    <tableColumn id="3" xr3:uid="{051AE727-4A11-4577-AE17-B7D672F4B5F8}" name="Opening balance" totalsRowFunction="sum" dataDxfId="92" totalsRowDxfId="91">
      <calculatedColumnFormula array="1">INDIRECT("raport_" &amp; $B$11-1 &amp; "[@[Closing balance]]")</calculatedColumnFormula>
    </tableColumn>
    <tableColumn id="4" xr3:uid="{960BFB07-10FE-451C-B3B2-9BF7E03B129E}" name="Operations" totalsRowFunction="sum" dataDxfId="90" totalsRowDxfId="89">
      <calculatedColumnFormula>SUMIFS(operations[Amount],operations[Bank],Raport_7[[#This Row],[Bank]],operations[Product],Raport_7[[#This Row],[Product]],operations[Month],$B$11)</calculatedColumnFormula>
    </tableColumn>
    <tableColumn id="5" xr3:uid="{B04827C8-A263-47E6-A3DB-A039C116A4B9}" name="Closing balance" totalsRowFunction="sum" dataDxfId="88" totalsRowDxfId="87">
      <calculatedColumnFormula>Raport_7[[#This Row],[Opening balance]]+Raport_7[[#This Row],[Operations]]</calculatedColumnFormula>
    </tableColumn>
  </tableColumns>
  <tableStyleInfo name="TableStyleLight10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2D64FA2-1CAE-45DD-B8AC-7FF366A52F7B}" name="Income_7" displayName="Income_7" ref="G1:H8" totalsRowCount="1">
  <autoFilter ref="G1:H7" xr:uid="{557EDEB9-D9BD-4812-A92C-DDBD6AEB9F7C}"/>
  <tableColumns count="2">
    <tableColumn id="1" xr3:uid="{E4FA3E09-0BB6-4AAD-8095-876655B6D01A}" name="Category" totalsRowLabel="Total" dataDxfId="86"/>
    <tableColumn id="2" xr3:uid="{89D1B367-F6CA-4AFF-8EB5-02C2A8B08B78}" name="Total" totalsRowFunction="sum" dataDxfId="85" totalsRowDxfId="84">
      <calculatedColumnFormula>SUMIFS(operations[Amount],operations[Category],Income_7[[#This Row],[Category]],operations[Month],$B$11)</calculatedColumnFormula>
    </tableColumn>
  </tableColumns>
  <tableStyleInfo name="TableStyleLight10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ACEEF06-0480-4293-97CC-BB775D01E068}" name="Expenses_7" displayName="Expenses_7" ref="J1:K11" totalsRowCount="1">
  <autoFilter ref="J1:K10" xr:uid="{B1C4733A-9FB1-4B38-85B5-84C3C2040539}"/>
  <tableColumns count="2">
    <tableColumn id="1" xr3:uid="{2FE619B7-85B7-42D2-99CE-C0053D2FB53D}" name="Category" totalsRowLabel="Total"/>
    <tableColumn id="2" xr3:uid="{5421944B-931D-415F-B93F-0BD0F0C7A0E1}" name="Total" totalsRowFunction="sum" dataDxfId="83" totalsRowDxfId="82">
      <calculatedColumnFormula>SUMIFS(operations[Amount],operations[Category],Expenses_7[[#This Row],[Category]],operations[Month],$B$11)</calculatedColumnFormula>
    </tableColumn>
  </tableColumns>
  <tableStyleInfo name="TableStyleLight10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2566609-008E-4B2B-9B59-AAAEA625B998}" name="Balance_7" displayName="Balance_7" ref="A13:B17" totalsRowCount="1">
  <autoFilter ref="A13:B16" xr:uid="{91EC8A0C-5FC1-4468-A2D5-B89BAFA10F89}"/>
  <tableColumns count="2">
    <tableColumn id="1" xr3:uid="{3372FF2C-98C8-49CD-BD8F-229A71E8357F}" name="Type" totalsRowLabel="Total"/>
    <tableColumn id="2" xr3:uid="{82FD4D1A-10D1-49FE-929E-CBDF4E471DDD}" name="Total" totalsRowFunction="sum" dataDxfId="81" totalsRowDxfId="80">
      <calculatedColumnFormula>SUMIFS(operations[Amount],operations[Type],Balance_7[[#This Row],[Type]],operations[Month],$B$11)</calculatedColumnFormula>
    </tableColumn>
  </tableColumns>
  <tableStyleInfo name="TableStyleLight10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6CCE5433-680C-498F-AAA6-123DE6D74D9F}" name="Raport_8" displayName="Raport_8" ref="A1:E9" totalsRowCount="1" totalsRowDxfId="79">
  <autoFilter ref="A1:E8" xr:uid="{9A7024CC-AB5C-4EC3-897F-14E3996AD225}"/>
  <tableColumns count="5">
    <tableColumn id="1" xr3:uid="{0C07340E-888F-494E-8900-E16485EF6AA5}" name="Bank" totalsRowLabel="Total" totalsRowDxfId="78"/>
    <tableColumn id="2" xr3:uid="{F03FBBBA-72DC-4452-A191-4E51E67C8011}" name="Product" totalsRowDxfId="77"/>
    <tableColumn id="3" xr3:uid="{06D69DE8-31A9-46FF-8573-5546EC6B962C}" name="Opening balance" totalsRowFunction="sum" dataDxfId="76" totalsRowDxfId="75">
      <calculatedColumnFormula array="1">INDIRECT("raport_" &amp; $B$11-1 &amp; "[@[Closing balance]]")</calculatedColumnFormula>
    </tableColumn>
    <tableColumn id="4" xr3:uid="{F7C01915-5C94-471A-8AB6-F41EAEEFADCD}" name="Operations" totalsRowFunction="sum" dataDxfId="74" totalsRowDxfId="73">
      <calculatedColumnFormula>SUMIFS(operations[Amount],operations[Bank],Raport_8[[#This Row],[Bank]],operations[Product],Raport_8[[#This Row],[Product]],operations[Month],$B$11)</calculatedColumnFormula>
    </tableColumn>
    <tableColumn id="5" xr3:uid="{9D877C8E-C226-4083-A24F-0B75DF182F2D}" name="Closing balance" totalsRowFunction="sum" dataDxfId="72" totalsRowDxfId="71">
      <calculatedColumnFormula>Raport_8[[#This Row],[Opening balance]]+Raport_8[[#This Row],[Operations]]</calculatedColumnFormula>
    </tableColumn>
  </tableColumns>
  <tableStyleInfo name="TableStyleLight10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14AF9C6-6552-4513-80DB-D470CBE93F6F}" name="Income_8" displayName="Income_8" ref="G1:H8" totalsRowCount="1">
  <autoFilter ref="G1:H7" xr:uid="{557EDEB9-D9BD-4812-A92C-DDBD6AEB9F7C}"/>
  <tableColumns count="2">
    <tableColumn id="1" xr3:uid="{BAFDD66D-1364-4D3B-AF76-8992369C8BD4}" name="Category" totalsRowLabel="Total" dataDxfId="70"/>
    <tableColumn id="2" xr3:uid="{9224AD4B-2BB1-4A51-8A75-E2DACE198D6D}" name="Total" totalsRowFunction="sum" dataDxfId="69" totalsRowDxfId="68">
      <calculatedColumnFormula>SUMIFS(operations[Amount],operations[Category],Income_8[[#This Row],[Category]],operations[Month],$B$11)</calculatedColumnFormula>
    </tableColumn>
  </tableColumns>
  <tableStyleInfo name="TableStyleLight10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CE39B88E-276A-4A52-9C7D-4BE0DEF00D60}" name="Expenses_8" displayName="Expenses_8" ref="J1:K11" totalsRowCount="1">
  <autoFilter ref="J1:K10" xr:uid="{B1C4733A-9FB1-4B38-85B5-84C3C2040539}"/>
  <tableColumns count="2">
    <tableColumn id="1" xr3:uid="{DAEB13DB-4073-4DB7-8DD4-3E9FE0E79450}" name="Category" totalsRowLabel="Total"/>
    <tableColumn id="2" xr3:uid="{318E64C4-29B4-4297-9710-CF8B38A043C6}" name="Total" totalsRowFunction="sum" dataDxfId="67" totalsRowDxfId="66">
      <calculatedColumnFormula>SUMIFS(operations[Amount],operations[Category],Expenses_8[[#This Row],[Category]],operations[Month],$B$11)</calculatedColumnFormula>
    </tableColumn>
  </tableColumns>
  <tableStyleInfo name="TableStyleLight10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C0C9565E-750E-4DC4-9C0A-76E50560C553}" name="Balance_8" displayName="Balance_8" ref="A13:B17" totalsRowCount="1">
  <autoFilter ref="A13:B16" xr:uid="{91EC8A0C-5FC1-4468-A2D5-B89BAFA10F89}"/>
  <tableColumns count="2">
    <tableColumn id="1" xr3:uid="{728E754D-31DC-47E9-AC32-093E57EA9896}" name="Type" totalsRowLabel="Total"/>
    <tableColumn id="2" xr3:uid="{9EC046A9-70E1-4542-B9E4-3FAC109D1250}" name="Total" totalsRowFunction="sum" dataDxfId="65" totalsRowDxfId="64">
      <calculatedColumnFormula>SUMIFS(operations[Amount],operations[Type],Balance_8[[#This Row],[Type]],operations[Month],$B$11)</calculatedColumnFormula>
    </tableColumn>
  </tableColumns>
  <tableStyleInfo name="TableStyleLight10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E32A363A-17F4-4E43-AE52-2FB74CFBCAFA}" name="Raport_9" displayName="Raport_9" ref="A1:E9" totalsRowCount="1" totalsRowDxfId="63">
  <autoFilter ref="A1:E8" xr:uid="{9A7024CC-AB5C-4EC3-897F-14E3996AD225}"/>
  <tableColumns count="5">
    <tableColumn id="1" xr3:uid="{80A6CFC9-7E21-4CE6-9B50-F4815E959A43}" name="Bank" totalsRowLabel="Total" totalsRowDxfId="62"/>
    <tableColumn id="2" xr3:uid="{8D8A37A3-0EEA-4B7C-AA24-615844978A1D}" name="Product" totalsRowDxfId="61"/>
    <tableColumn id="3" xr3:uid="{E4721406-3AE6-4C7B-B975-6D477BA4FD8F}" name="Opening balance" totalsRowFunction="sum" dataDxfId="60" totalsRowDxfId="59">
      <calculatedColumnFormula array="1">INDIRECT("raport_" &amp; $B$11-1 &amp; "[@[Closing balance]]")</calculatedColumnFormula>
    </tableColumn>
    <tableColumn id="4" xr3:uid="{137C4D1E-8D28-45C6-A05D-B453913F18E5}" name="Operations" totalsRowFunction="sum" dataDxfId="58" totalsRowDxfId="57">
      <calculatedColumnFormula>SUMIFS(operations[Amount],operations[Bank],Raport_9[[#This Row],[Bank]],operations[Product],Raport_9[[#This Row],[Product]],operations[Month],$B$11)</calculatedColumnFormula>
    </tableColumn>
    <tableColumn id="5" xr3:uid="{CB405039-D7A1-44D1-9D8B-32E625ACE2FA}" name="Closing balance" totalsRowFunction="sum" dataDxfId="56" totalsRowDxfId="55">
      <calculatedColumnFormula>Raport_9[[#This Row],[Opening balance]]+Raport_9[[#This Row],[Operations]]</calculatedColumnFormula>
    </tableColumn>
  </tableColumns>
  <tableStyleInfo name="TableStyleLight10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621B19A-E188-453A-9BDE-6AFF6A71C2A0}" name="Income_9" displayName="Income_9" ref="G1:H8" totalsRowCount="1">
  <autoFilter ref="G1:H7" xr:uid="{557EDEB9-D9BD-4812-A92C-DDBD6AEB9F7C}"/>
  <tableColumns count="2">
    <tableColumn id="1" xr3:uid="{04CE0432-9769-42D0-A67C-6D0A5D3C72A6}" name="Category" totalsRowLabel="Total" dataDxfId="54"/>
    <tableColumn id="2" xr3:uid="{968C3FDE-726B-4018-ABA5-6FD399E6C0EC}" name="Total" totalsRowFunction="sum" dataDxfId="53" totalsRowDxfId="52">
      <calculatedColumnFormula>SUMIFS(operations[Amount],operations[Category],Income_9[[#This Row],[Category]],operations[Month],$B$11)</calculatedColumnFormula>
    </tableColumn>
  </tableColumns>
  <tableStyleInfo name="TableStyleLight10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69BE0F-7FFB-4C86-A6CD-E9FAF61ECF4A}" name="Expenses_9" displayName="Expenses_9" ref="J1:K11" totalsRowCount="1">
  <autoFilter ref="J1:K10" xr:uid="{B1C4733A-9FB1-4B38-85B5-84C3C2040539}"/>
  <tableColumns count="2">
    <tableColumn id="1" xr3:uid="{3730F870-7F02-4866-8665-990E6F15FDE8}" name="Category" totalsRowLabel="Total"/>
    <tableColumn id="2" xr3:uid="{888E123E-0659-41AC-ACF3-3CF6CBF8CEA0}" name="Total" totalsRowFunction="sum" dataDxfId="51" totalsRowDxfId="50">
      <calculatedColumnFormula>SUMIFS(operations[Amount],operations[Category],Expenses_9[[#This Row],[Category]],operations[Month],$B$11)</calculatedColumnFormula>
    </tableColumn>
  </tableColumns>
  <tableStyleInfo name="TableStyleLight10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8275C286-9CE6-4B41-B85A-3CA236615373}" name="Balance_9" displayName="Balance_9" ref="A13:B17" totalsRowCount="1">
  <autoFilter ref="A13:B16" xr:uid="{91EC8A0C-5FC1-4468-A2D5-B89BAFA10F89}"/>
  <tableColumns count="2">
    <tableColumn id="1" xr3:uid="{AB5A0709-FE27-4ACC-A08E-73FA3E58A9D6}" name="Type" totalsRowLabel="Total"/>
    <tableColumn id="2" xr3:uid="{F26C2CBC-F71B-4CB4-ACE4-90443D016E7B}" name="Total" totalsRowFunction="sum" dataDxfId="49" totalsRowDxfId="48">
      <calculatedColumnFormula>SUMIFS(operations[Amount],operations[Type],Balance_9[[#This Row],[Type]],operations[Month],$B$11)</calculatedColumnFormula>
    </tableColumn>
  </tableColumns>
  <tableStyleInfo name="TableStyleLight10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7A0FE769-284A-4840-AFC6-21FE95E021E5}" name="Raport_10" displayName="Raport_10" ref="A1:E9" totalsRowCount="1" totalsRowDxfId="47">
  <autoFilter ref="A1:E8" xr:uid="{9A7024CC-AB5C-4EC3-897F-14E3996AD225}"/>
  <tableColumns count="5">
    <tableColumn id="1" xr3:uid="{B0045368-82F5-462C-A03B-E844A96A93FA}" name="Bank" totalsRowLabel="Total" totalsRowDxfId="46"/>
    <tableColumn id="2" xr3:uid="{41630918-EFC5-443C-AC87-BFEEAAF0F563}" name="Product" totalsRowDxfId="45"/>
    <tableColumn id="3" xr3:uid="{0079561E-4D7D-4B49-8AC5-DB7C89A5E2C1}" name="Opening balance" totalsRowFunction="sum" dataDxfId="44" totalsRowDxfId="43">
      <calculatedColumnFormula array="1">INDIRECT("raport_" &amp; $B$11-1 &amp; "[@[Closing balance]]")</calculatedColumnFormula>
    </tableColumn>
    <tableColumn id="4" xr3:uid="{BE0C77CB-7DCE-49EF-A114-7FD1EA9C8F30}" name="Operations" totalsRowFunction="sum" dataDxfId="42" totalsRowDxfId="41">
      <calculatedColumnFormula>SUMIFS(operations[Amount],operations[Bank],Raport_10[[#This Row],[Bank]],operations[Product],Raport_10[[#This Row],[Product]],operations[Month],$B$11)</calculatedColumnFormula>
    </tableColumn>
    <tableColumn id="5" xr3:uid="{D02AB498-95BB-460B-9A78-6B2A6C668501}" name="Closing balance" totalsRowFunction="sum" dataDxfId="40" totalsRowDxfId="39">
      <calculatedColumnFormula>Raport_10[[#This Row],[Opening balance]]+Raport_10[[#This Row],[Operations]]</calculatedColumnFormula>
    </tableColumn>
  </tableColumns>
  <tableStyleInfo name="TableStyleLight10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EFE289A3-6CAE-4CB3-AE3E-3F0E373FE373}" name="Income_10" displayName="Income_10" ref="G1:H8" totalsRowCount="1">
  <autoFilter ref="G1:H7" xr:uid="{557EDEB9-D9BD-4812-A92C-DDBD6AEB9F7C}"/>
  <tableColumns count="2">
    <tableColumn id="1" xr3:uid="{A3286065-D3F2-4119-A09D-356BAEA3D8CB}" name="Category" totalsRowLabel="Total" dataDxfId="38"/>
    <tableColumn id="2" xr3:uid="{10231925-F7A2-4B4F-A61A-90A3065BE348}" name="Total" totalsRowFunction="sum" dataDxfId="37" totalsRowDxfId="36">
      <calculatedColumnFormula>SUMIFS(operations[Amount],operations[Category],Income_10[[#This Row],[Category]],operations[Month],$B$11)</calculatedColumnFormula>
    </tableColumn>
  </tableColumns>
  <tableStyleInfo name="TableStyleLight10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2E0089B-9CFD-4156-A3DD-FAC92EF07C49}" name="Expenses_10" displayName="Expenses_10" ref="J1:K11" totalsRowCount="1">
  <autoFilter ref="J1:K10" xr:uid="{B1C4733A-9FB1-4B38-85B5-84C3C2040539}"/>
  <tableColumns count="2">
    <tableColumn id="1" xr3:uid="{237FCA15-40E1-4F1B-B9F2-7B9627DA81B8}" name="Category" totalsRowLabel="Total"/>
    <tableColumn id="2" xr3:uid="{A85E973C-F0E4-4798-A520-BA6FE2E08877}" name="Total" totalsRowFunction="sum" dataDxfId="35" totalsRowDxfId="34">
      <calculatedColumnFormula>SUMIFS(operations[Amount],operations[Category],Expenses_10[[#This Row],[Category]],operations[Month],$B$11)</calculatedColumnFormula>
    </tableColumn>
  </tableColumns>
  <tableStyleInfo name="TableStyleLight10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433B718-756A-4BAF-AC89-68F97641AA7C}" name="Balance_10" displayName="Balance_10" ref="A13:B17" totalsRowCount="1">
  <autoFilter ref="A13:B16" xr:uid="{91EC8A0C-5FC1-4468-A2D5-B89BAFA10F89}"/>
  <tableColumns count="2">
    <tableColumn id="1" xr3:uid="{67D9FD9B-7973-40BB-8EB5-049725FD33C1}" name="Type" totalsRowLabel="Total"/>
    <tableColumn id="2" xr3:uid="{619FBC4B-87C3-4A07-BC8F-66E33AE50D20}" name="Total" totalsRowFunction="sum" dataDxfId="33" totalsRowDxfId="32">
      <calculatedColumnFormula>SUMIFS(operations[Amount],operations[Type],Balance_10[[#This Row],[Type]],operations[Month],$B$11)</calculatedColumnFormula>
    </tableColumn>
  </tableColumns>
  <tableStyleInfo name="TableStyleLight10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5DB768F-5E39-46A1-BE53-989C5D632840}" name="Raport_11" displayName="Raport_11" ref="A1:E9" totalsRowCount="1" totalsRowDxfId="31">
  <autoFilter ref="A1:E8" xr:uid="{9A7024CC-AB5C-4EC3-897F-14E3996AD225}"/>
  <tableColumns count="5">
    <tableColumn id="1" xr3:uid="{8F1505F3-8AA2-4FEE-8020-1BE41CDC9CA9}" name="Bank" totalsRowLabel="Total" totalsRowDxfId="30"/>
    <tableColumn id="2" xr3:uid="{0A8C5979-8720-4048-BC39-C82ACEB818AF}" name="Product" totalsRowDxfId="29"/>
    <tableColumn id="3" xr3:uid="{BBA6BABC-E58F-4FD5-9653-D01A4A069E69}" name="Opening balance" totalsRowFunction="sum" dataDxfId="28" totalsRowDxfId="27">
      <calculatedColumnFormula array="1">INDIRECT("raport_" &amp; $B$11-1 &amp; "[@[Closing balance]]")</calculatedColumnFormula>
    </tableColumn>
    <tableColumn id="4" xr3:uid="{B96F94F1-52BD-455F-B4DA-AF573790EBB2}" name="Operations" totalsRowFunction="sum" dataDxfId="26" totalsRowDxfId="25">
      <calculatedColumnFormula>SUMIFS(operations[Amount],operations[Bank],Raport_11[[#This Row],[Bank]],operations[Product],Raport_11[[#This Row],[Product]],operations[Month],$B$11)</calculatedColumnFormula>
    </tableColumn>
    <tableColumn id="5" xr3:uid="{789F0978-E9BF-46F0-8A92-D63B1659F1BA}" name="Closing balance" totalsRowFunction="sum" dataDxfId="24" totalsRowDxfId="23">
      <calculatedColumnFormula>Raport_11[[#This Row],[Opening balance]]+Raport_11[[#This Row],[Operations]]</calculatedColumnFormula>
    </tableColumn>
  </tableColumns>
  <tableStyleInfo name="TableStyleLight10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EBD3E947-0F8A-4EBE-AAF5-AA4EF02219C4}" name="Income_11" displayName="Income_11" ref="G1:H8" totalsRowCount="1">
  <autoFilter ref="G1:H7" xr:uid="{557EDEB9-D9BD-4812-A92C-DDBD6AEB9F7C}"/>
  <tableColumns count="2">
    <tableColumn id="1" xr3:uid="{E3B2C69A-37AB-44D2-9F24-95CC91EAB605}" name="Category" totalsRowLabel="Total" dataDxfId="22"/>
    <tableColumn id="2" xr3:uid="{789A226B-F760-44FC-90FE-795EDD9F2CDD}" name="Total" totalsRowFunction="sum" dataDxfId="21" totalsRowDxfId="20">
      <calculatedColumnFormula>SUMIFS(operations[Amount],operations[Category],Income_11[[#This Row],[Category]],operations[Month],$B$11)</calculatedColumnFormula>
    </tableColumn>
  </tableColumns>
  <tableStyleInfo name="TableStyleLight10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60EFB1CE-0790-4945-BB3A-ED3A79783146}" name="Expenses_11" displayName="Expenses_11" ref="J1:K11" totalsRowCount="1">
  <autoFilter ref="J1:K10" xr:uid="{B1C4733A-9FB1-4B38-85B5-84C3C2040539}"/>
  <tableColumns count="2">
    <tableColumn id="1" xr3:uid="{E71357F4-F62F-4019-85FD-27B8C4656EF4}" name="Category" totalsRowLabel="Total"/>
    <tableColumn id="2" xr3:uid="{0EFC3921-87FC-4D84-A7A2-63A515884C63}" name="Total" totalsRowFunction="sum" dataDxfId="19" totalsRowDxfId="18">
      <calculatedColumnFormula>SUMIFS(operations[Amount],operations[Category],Expenses_11[[#This Row],[Category]],operations[Month],$B$11)</calculatedColumnFormula>
    </tableColumn>
  </tableColumns>
  <tableStyleInfo name="TableStyleLight10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A16D35F2-91C9-4B64-B727-23344299707A}" name="Balance_11" displayName="Balance_11" ref="A13:B17" totalsRowCount="1">
  <autoFilter ref="A13:B16" xr:uid="{91EC8A0C-5FC1-4468-A2D5-B89BAFA10F89}"/>
  <tableColumns count="2">
    <tableColumn id="1" xr3:uid="{F74DA0F9-E041-455C-9C66-1E5925CDE301}" name="Type" totalsRowLabel="Total"/>
    <tableColumn id="2" xr3:uid="{C1DEB44F-F559-4E89-8FA5-02E82CAD6910}" name="Total" totalsRowFunction="sum" dataDxfId="17" totalsRowDxfId="16">
      <calculatedColumnFormula>SUMIFS(operations[Amount],operations[Type],Balance_11[[#This Row],[Type]],operations[Month],$B$11)</calculatedColumnFormula>
    </tableColumn>
  </tableColumns>
  <tableStyleInfo name="TableStyleLight10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E0520FD8-1CC9-4430-B946-DEABEC7E1925}" name="Raport_12" displayName="Raport_12" ref="A1:E9" totalsRowCount="1" totalsRowDxfId="15">
  <autoFilter ref="A1:E8" xr:uid="{9A7024CC-AB5C-4EC3-897F-14E3996AD225}"/>
  <tableColumns count="5">
    <tableColumn id="1" xr3:uid="{727AACD7-5086-4C55-A2C9-305B0E6BB21C}" name="Bank" totalsRowLabel="Total" totalsRowDxfId="14"/>
    <tableColumn id="2" xr3:uid="{EB006D96-F91A-40E6-A7FF-B19FD2733E89}" name="Product" totalsRowDxfId="13"/>
    <tableColumn id="3" xr3:uid="{FF09C21A-E254-41AA-ACFF-5ECD2FB5B2AD}" name="Opening balance" totalsRowFunction="sum" dataDxfId="12" totalsRowDxfId="11">
      <calculatedColumnFormula array="1">INDIRECT("raport_" &amp; $B$11-1 &amp; "[@[Closing balance]]")</calculatedColumnFormula>
    </tableColumn>
    <tableColumn id="4" xr3:uid="{7980DD2F-1304-4D50-8ADA-C9CE4269DB24}" name="Operations" totalsRowFunction="sum" dataDxfId="10" totalsRowDxfId="9">
      <calculatedColumnFormula>SUMIFS(operations[Amount],operations[Bank],Raport_12[[#This Row],[Bank]],operations[Product],Raport_12[[#This Row],[Product]],operations[Month],$B$11)</calculatedColumnFormula>
    </tableColumn>
    <tableColumn id="5" xr3:uid="{81E2B472-E047-4406-9B28-76B836E5BFBD}" name="Closing balance" totalsRowFunction="sum" dataDxfId="8" totalsRowDxfId="7">
      <calculatedColumnFormula>Raport_12[[#This Row],[Opening balance]]+Raport_12[[#This Row],[Operations]]</calculatedColumnFormula>
    </tableColumn>
  </tableColumns>
  <tableStyleInfo name="TableStyleLight10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D54D62D4-ADE8-4D4E-B1FF-74B22185940A}" name="Income_12" displayName="Income_12" ref="G1:H8" totalsRowCount="1">
  <autoFilter ref="G1:H7" xr:uid="{557EDEB9-D9BD-4812-A92C-DDBD6AEB9F7C}"/>
  <tableColumns count="2">
    <tableColumn id="1" xr3:uid="{8E53A5A1-DFE6-4FA4-BDB8-B79BF68D2246}" name="Category" totalsRowLabel="Total" dataDxfId="6"/>
    <tableColumn id="2" xr3:uid="{100C21E6-2A80-466A-9337-A44AF2E457CF}" name="Total" totalsRowFunction="sum" dataDxfId="5" totalsRowDxfId="4">
      <calculatedColumnFormula>SUMIFS(operations[Amount],operations[Category],Income_12[[#This Row],[Category]],operations[Month],$B$11)</calculatedColumnFormula>
    </tableColumn>
  </tableColumns>
  <tableStyleInfo name="TableStyleLight10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CE559318-0331-4CFB-A992-7F71168A9204}" name="Expenses_12" displayName="Expenses_12" ref="J1:K11" totalsRowCount="1">
  <autoFilter ref="J1:K10" xr:uid="{B1C4733A-9FB1-4B38-85B5-84C3C2040539}"/>
  <tableColumns count="2">
    <tableColumn id="1" xr3:uid="{3B8D75B7-3477-45EA-BA21-C5BB4F426E53}" name="Category" totalsRowLabel="Total"/>
    <tableColumn id="2" xr3:uid="{76D0CE5F-7D98-43C7-9BCE-5ED349268D03}" name="Total" totalsRowFunction="sum" dataDxfId="3" totalsRowDxfId="2">
      <calculatedColumnFormula>SUMIFS(operations[Amount],operations[Category],Expenses_12[[#This Row],[Category]],operations[Month],$B$11)</calculatedColumnFormula>
    </tableColumn>
  </tableColumns>
  <tableStyleInfo name="TableStyleLight10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7B24EACE-AFCD-4B50-935E-FB74F2B49575}" name="Balance_12" displayName="Balance_12" ref="A13:B17" totalsRowCount="1">
  <autoFilter ref="A13:B16" xr:uid="{91EC8A0C-5FC1-4468-A2D5-B89BAFA10F89}"/>
  <tableColumns count="2">
    <tableColumn id="1" xr3:uid="{389F4703-C75B-4421-9154-BAE29136C1AD}" name="Type" totalsRowLabel="Total"/>
    <tableColumn id="2" xr3:uid="{C964E35E-8CED-4FB4-8820-0EA60AE3D922}" name="Total" totalsRowFunction="sum" dataDxfId="1" totalsRowDxfId="0">
      <calculatedColumnFormula>SUMIFS(operations[Amount],operations[Type],Balance_12[[#This Row],[Type]],operations[Month],$B$11)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4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4" Type="http://schemas.openxmlformats.org/officeDocument/2006/relationships/table" Target="../tables/table1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Relationship Id="rId4" Type="http://schemas.openxmlformats.org/officeDocument/2006/relationships/table" Target="../tables/table1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Relationship Id="rId4" Type="http://schemas.openxmlformats.org/officeDocument/2006/relationships/table" Target="../tables/table2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table" Target="../tables/table23.xml"/><Relationship Id="rId4" Type="http://schemas.openxmlformats.org/officeDocument/2006/relationships/table" Target="../tables/table2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table" Target="../tables/table27.xml"/><Relationship Id="rId4" Type="http://schemas.openxmlformats.org/officeDocument/2006/relationships/table" Target="../tables/table3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table" Target="../tables/table31.xml"/><Relationship Id="rId4" Type="http://schemas.openxmlformats.org/officeDocument/2006/relationships/table" Target="../tables/table34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" Target="../tables/table36.xml"/><Relationship Id="rId1" Type="http://schemas.openxmlformats.org/officeDocument/2006/relationships/table" Target="../tables/table35.xml"/><Relationship Id="rId4" Type="http://schemas.openxmlformats.org/officeDocument/2006/relationships/table" Target="../tables/table3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table" Target="../tables/table40.xml"/><Relationship Id="rId1" Type="http://schemas.openxmlformats.org/officeDocument/2006/relationships/table" Target="../tables/table39.xml"/><Relationship Id="rId4" Type="http://schemas.openxmlformats.org/officeDocument/2006/relationships/table" Target="../tables/table4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table" Target="../tables/table44.xml"/><Relationship Id="rId1" Type="http://schemas.openxmlformats.org/officeDocument/2006/relationships/table" Target="../tables/table43.xml"/><Relationship Id="rId4" Type="http://schemas.openxmlformats.org/officeDocument/2006/relationships/table" Target="../tables/table4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table" Target="../tables/table48.xml"/><Relationship Id="rId1" Type="http://schemas.openxmlformats.org/officeDocument/2006/relationships/table" Target="../tables/table47.xml"/><Relationship Id="rId4" Type="http://schemas.openxmlformats.org/officeDocument/2006/relationships/table" Target="../tables/table50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3.xml"/><Relationship Id="rId2" Type="http://schemas.openxmlformats.org/officeDocument/2006/relationships/table" Target="../tables/table52.xml"/><Relationship Id="rId1" Type="http://schemas.openxmlformats.org/officeDocument/2006/relationships/table" Target="../tables/table51.xml"/><Relationship Id="rId4" Type="http://schemas.openxmlformats.org/officeDocument/2006/relationships/table" Target="../tables/table5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02A38-0C3F-4A5F-8BA6-176FE2C39621}">
  <sheetPr codeName="Sheet1"/>
  <dimension ref="A1:I207"/>
  <sheetViews>
    <sheetView workbookViewId="0">
      <selection activeCell="D7" sqref="D7"/>
    </sheetView>
  </sheetViews>
  <sheetFormatPr defaultRowHeight="15" x14ac:dyDescent="0.25"/>
  <cols>
    <col min="1" max="1" width="16" bestFit="1" customWidth="1"/>
    <col min="2" max="2" width="10.5703125" customWidth="1"/>
    <col min="3" max="3" width="8" customWidth="1"/>
    <col min="4" max="4" width="11.7109375" customWidth="1"/>
    <col min="5" max="5" width="18.140625" customWidth="1"/>
    <col min="6" max="6" width="10.140625" bestFit="1" customWidth="1"/>
    <col min="7" max="7" width="14" bestFit="1" customWidth="1"/>
    <col min="8" max="8" width="17.28515625" customWidth="1"/>
    <col min="9" max="9" width="7.85546875" bestFit="1" customWidth="1"/>
  </cols>
  <sheetData>
    <row r="1" spans="1:9" ht="16.5" thickTop="1" thickBot="1" x14ac:dyDescent="0.3">
      <c r="A1" s="1" t="s">
        <v>3</v>
      </c>
      <c r="B1" s="1" t="s">
        <v>4</v>
      </c>
      <c r="D1" t="s">
        <v>0</v>
      </c>
      <c r="E1" t="s">
        <v>2</v>
      </c>
      <c r="G1" s="12" t="s">
        <v>11</v>
      </c>
      <c r="H1" s="12" t="s">
        <v>7</v>
      </c>
      <c r="I1" s="12" t="s">
        <v>13</v>
      </c>
    </row>
    <row r="2" spans="1:9" ht="16.5" thickTop="1" thickBot="1" x14ac:dyDescent="0.3">
      <c r="A2" s="1" t="s">
        <v>18</v>
      </c>
      <c r="B2" s="1" t="s">
        <v>38</v>
      </c>
      <c r="D2" t="s">
        <v>11</v>
      </c>
      <c r="E2" t="s">
        <v>8</v>
      </c>
      <c r="G2" s="12" t="s">
        <v>8</v>
      </c>
      <c r="H2" s="12" t="s">
        <v>8</v>
      </c>
      <c r="I2" s="12" t="s">
        <v>15</v>
      </c>
    </row>
    <row r="3" spans="1:9" ht="16.5" thickTop="1" thickBot="1" x14ac:dyDescent="0.3">
      <c r="A3" s="1" t="s">
        <v>22</v>
      </c>
      <c r="B3" s="1" t="s">
        <v>38</v>
      </c>
      <c r="D3" t="s">
        <v>11</v>
      </c>
      <c r="E3" t="s">
        <v>12</v>
      </c>
      <c r="G3" s="12" t="s">
        <v>12</v>
      </c>
      <c r="H3" s="12" t="s">
        <v>9</v>
      </c>
      <c r="I3" s="12" t="s">
        <v>14</v>
      </c>
    </row>
    <row r="4" spans="1:9" ht="16.5" thickTop="1" thickBot="1" x14ac:dyDescent="0.3">
      <c r="A4" s="1" t="s">
        <v>20</v>
      </c>
      <c r="B4" s="1" t="s">
        <v>38</v>
      </c>
      <c r="D4" t="s">
        <v>7</v>
      </c>
      <c r="E4" t="s">
        <v>8</v>
      </c>
      <c r="G4" s="12" t="s">
        <v>33</v>
      </c>
      <c r="H4" s="12" t="s">
        <v>10</v>
      </c>
    </row>
    <row r="5" spans="1:9" ht="15.75" thickTop="1" x14ac:dyDescent="0.25">
      <c r="A5" s="1" t="s">
        <v>17</v>
      </c>
      <c r="B5" s="1" t="s">
        <v>38</v>
      </c>
      <c r="D5" t="s">
        <v>7</v>
      </c>
      <c r="E5" t="s">
        <v>9</v>
      </c>
    </row>
    <row r="6" spans="1:9" x14ac:dyDescent="0.25">
      <c r="A6" s="1" t="s">
        <v>21</v>
      </c>
      <c r="B6" s="1" t="s">
        <v>38</v>
      </c>
      <c r="D6" t="s">
        <v>7</v>
      </c>
      <c r="E6" t="s">
        <v>10</v>
      </c>
    </row>
    <row r="7" spans="1:9" x14ac:dyDescent="0.25">
      <c r="A7" s="1" t="s">
        <v>19</v>
      </c>
      <c r="B7" s="1" t="s">
        <v>38</v>
      </c>
      <c r="D7" t="s">
        <v>13</v>
      </c>
      <c r="E7" t="s">
        <v>15</v>
      </c>
    </row>
    <row r="8" spans="1:9" x14ac:dyDescent="0.25">
      <c r="A8" s="1" t="s">
        <v>24</v>
      </c>
      <c r="B8" s="1" t="s">
        <v>38</v>
      </c>
      <c r="D8" t="s">
        <v>13</v>
      </c>
      <c r="E8" t="s">
        <v>14</v>
      </c>
    </row>
    <row r="9" spans="1:9" x14ac:dyDescent="0.25">
      <c r="A9" s="1" t="s">
        <v>23</v>
      </c>
      <c r="B9" s="1" t="s">
        <v>38</v>
      </c>
    </row>
    <row r="10" spans="1:9" x14ac:dyDescent="0.25">
      <c r="A10" s="1" t="s">
        <v>16</v>
      </c>
      <c r="B10" s="1" t="s">
        <v>38</v>
      </c>
    </row>
    <row r="11" spans="1:9" x14ac:dyDescent="0.25">
      <c r="A11" s="1" t="s">
        <v>25</v>
      </c>
      <c r="B11" s="1" t="s">
        <v>32</v>
      </c>
    </row>
    <row r="12" spans="1:9" x14ac:dyDescent="0.25">
      <c r="A12" s="1" t="s">
        <v>28</v>
      </c>
      <c r="B12" s="1" t="s">
        <v>32</v>
      </c>
    </row>
    <row r="13" spans="1:9" x14ac:dyDescent="0.25">
      <c r="A13" s="1" t="s">
        <v>29</v>
      </c>
      <c r="B13" s="1" t="s">
        <v>32</v>
      </c>
    </row>
    <row r="14" spans="1:9" x14ac:dyDescent="0.25">
      <c r="A14" s="1" t="s">
        <v>30</v>
      </c>
      <c r="B14" s="1" t="s">
        <v>32</v>
      </c>
    </row>
    <row r="15" spans="1:9" x14ac:dyDescent="0.25">
      <c r="A15" s="1" t="s">
        <v>26</v>
      </c>
      <c r="B15" s="1" t="s">
        <v>32</v>
      </c>
    </row>
    <row r="16" spans="1:9" x14ac:dyDescent="0.25">
      <c r="A16" s="1" t="s">
        <v>27</v>
      </c>
      <c r="B16" s="1" t="s">
        <v>32</v>
      </c>
    </row>
    <row r="17" spans="1:2" x14ac:dyDescent="0.25">
      <c r="A17" s="1" t="s">
        <v>31</v>
      </c>
      <c r="B17" s="1" t="s">
        <v>31</v>
      </c>
    </row>
    <row r="18" spans="1:2" x14ac:dyDescent="0.25">
      <c r="B18" s="1"/>
    </row>
    <row r="19" spans="1:2" x14ac:dyDescent="0.25">
      <c r="B19" s="1"/>
    </row>
    <row r="20" spans="1:2" x14ac:dyDescent="0.25">
      <c r="B20" s="1"/>
    </row>
    <row r="21" spans="1:2" x14ac:dyDescent="0.25">
      <c r="B21" s="1"/>
    </row>
    <row r="22" spans="1:2" x14ac:dyDescent="0.25">
      <c r="B22" s="1"/>
    </row>
    <row r="23" spans="1:2" x14ac:dyDescent="0.25">
      <c r="B23" s="1"/>
    </row>
    <row r="24" spans="1:2" x14ac:dyDescent="0.25">
      <c r="B24" s="1"/>
    </row>
    <row r="25" spans="1:2" x14ac:dyDescent="0.25">
      <c r="B25" s="1"/>
    </row>
    <row r="26" spans="1:2" x14ac:dyDescent="0.25">
      <c r="B26" s="1"/>
    </row>
    <row r="27" spans="1:2" x14ac:dyDescent="0.25">
      <c r="B27" s="1"/>
    </row>
    <row r="28" spans="1:2" x14ac:dyDescent="0.25">
      <c r="B28" s="1"/>
    </row>
    <row r="29" spans="1:2" x14ac:dyDescent="0.25">
      <c r="B29" s="1"/>
    </row>
    <row r="30" spans="1:2" x14ac:dyDescent="0.25">
      <c r="B30" s="1"/>
    </row>
    <row r="31" spans="1:2" x14ac:dyDescent="0.25">
      <c r="B31" s="1"/>
    </row>
    <row r="32" spans="1:2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</sheetData>
  <dataValidations count="1">
    <dataValidation type="list" allowBlank="1" showInputMessage="1" showErrorMessage="1" sqref="B2:B1048576" xr:uid="{6EEF67FD-189D-4C93-9C18-8B5773622E11}">
      <formula1>"Income, Expense, Transfer"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DE694-D1C0-4574-AAA4-4362E5937DBF}">
  <sheetPr codeName="Sheet2"/>
  <dimension ref="A1:N18"/>
  <sheetViews>
    <sheetView workbookViewId="0">
      <selection activeCell="G24" sqref="G24"/>
    </sheetView>
  </sheetViews>
  <sheetFormatPr defaultRowHeight="15" x14ac:dyDescent="0.25"/>
  <cols>
    <col min="1" max="1" width="13.7109375" bestFit="1" customWidth="1"/>
    <col min="2" max="2" width="7.7109375" bestFit="1" customWidth="1"/>
    <col min="3" max="3" width="10.85546875" bestFit="1" customWidth="1"/>
    <col min="4" max="4" width="11.140625" bestFit="1" customWidth="1"/>
    <col min="5" max="6" width="10.85546875" bestFit="1" customWidth="1"/>
    <col min="7" max="9" width="11.140625" bestFit="1" customWidth="1"/>
    <col min="10" max="10" width="10.85546875" bestFit="1" customWidth="1"/>
    <col min="11" max="14" width="11.140625" bestFit="1" customWidth="1"/>
  </cols>
  <sheetData>
    <row r="1" spans="1:14" x14ac:dyDescent="0.25">
      <c r="A1" t="s">
        <v>3</v>
      </c>
      <c r="B1" t="s">
        <v>4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</row>
    <row r="2" spans="1:14" x14ac:dyDescent="0.25">
      <c r="A2" t="s">
        <v>18</v>
      </c>
      <c r="B2" t="s">
        <v>38</v>
      </c>
      <c r="C2" s="6" cm="1">
        <f t="array" ref="C2">SUMIFS(operations[[Amount]:[Amount]],operations[[Category]:[Category]],Summary_1[[#This Row],[Category]:[Category]],operations[[Month]:[Month]],Summary_1[[#Headers],[1]])</f>
        <v>-2000</v>
      </c>
      <c r="D2" s="6" cm="1">
        <f t="array" ref="D2">SUMIFS(operations[[Amount]:[Amount]],operations[[Category]:[Category]],Summary_1[[#This Row],[Category]:[Category]],operations[[Month]:[Month]],Summary_1[[#Headers],[2]])</f>
        <v>-2000</v>
      </c>
      <c r="E2" s="6" cm="1">
        <f t="array" ref="E2">SUMIFS(operations[[Amount]:[Amount]],operations[[Category]:[Category]],Summary_1[[#This Row],[Category]:[Category]],operations[[Month]:[Month]],Summary_1[[#Headers],[3]])</f>
        <v>-2000</v>
      </c>
      <c r="F2" s="6" cm="1">
        <f t="array" ref="F2">SUMIFS(operations[[Amount]:[Amount]],operations[[Category]:[Category]],Summary_1[[#This Row],[Category]:[Category]],operations[[Month]:[Month]],Summary_1[[#Headers],[4]])</f>
        <v>-2000</v>
      </c>
      <c r="G2" s="6" cm="1">
        <f t="array" ref="G2">SUMIFS(operations[[Amount]:[Amount]],operations[[Category]:[Category]],Summary_1[[#This Row],[Category]:[Category]],operations[[Month]:[Month]],Summary_1[[#Headers],[5]])</f>
        <v>-2000</v>
      </c>
      <c r="H2" s="6" cm="1">
        <f t="array" ref="H2">SUMIFS(operations[[Amount]:[Amount]],operations[[Category]:[Category]],Summary_1[[#This Row],[Category]:[Category]],operations[[Month]:[Month]],Summary_1[[#Headers],[6]])</f>
        <v>-2000</v>
      </c>
      <c r="I2" s="6" cm="1">
        <f t="array" ref="I2">SUMIFS(operations[[Amount]:[Amount]],operations[[Category]:[Category]],Summary_1[[#This Row],[Category]:[Category]],operations[[Month]:[Month]],Summary_1[[#Headers],[7]])</f>
        <v>-2000</v>
      </c>
      <c r="J2" s="6" cm="1">
        <f t="array" ref="J2">SUMIFS(operations[[Amount]:[Amount]],operations[[Category]:[Category]],Summary_1[[#This Row],[Category]:[Category]],operations[[Month]:[Month]],Summary_1[[#Headers],[8]])</f>
        <v>-2000</v>
      </c>
      <c r="K2" s="6" cm="1">
        <f t="array" ref="K2">SUMIFS(operations[[Amount]:[Amount]],operations[[Category]:[Category]],Summary_1[[#This Row],[Category]:[Category]],operations[[Month]:[Month]],Summary_1[[#Headers],[9]])</f>
        <v>-2000</v>
      </c>
      <c r="L2" s="6" cm="1">
        <f t="array" ref="L2">SUMIFS(operations[[Amount]:[Amount]],operations[[Category]:[Category]],Summary_1[[#This Row],[Category]:[Category]],operations[[Month]:[Month]],Summary_1[[#Headers],[10]])</f>
        <v>-2000</v>
      </c>
      <c r="M2" s="6" cm="1">
        <f t="array" ref="M2">SUMIFS(operations[[Amount]:[Amount]],operations[[Category]:[Category]],Summary_1[[#This Row],[Category]:[Category]],operations[[Month]:[Month]],Summary_1[[#Headers],[11]])</f>
        <v>-2000</v>
      </c>
      <c r="N2" s="6" cm="1">
        <f t="array" ref="N2">SUMIFS(operations[[Amount]:[Amount]],operations[[Category]:[Category]],Summary_1[[#This Row],[Category]:[Category]],operations[[Month]:[Month]],Summary_1[[#Headers],[12]])</f>
        <v>-2000</v>
      </c>
    </row>
    <row r="3" spans="1:14" x14ac:dyDescent="0.25">
      <c r="A3" t="s">
        <v>22</v>
      </c>
      <c r="B3" t="s">
        <v>38</v>
      </c>
      <c r="C3" s="6" cm="1">
        <f t="array" ref="C3">SUMIFS(operations[[Amount]:[Amount]],operations[[Category]:[Category]],Summary_1[[#This Row],[Category]:[Category]],operations[[Month]:[Month]],Summary_1[[#Headers],[1]])</f>
        <v>-80</v>
      </c>
      <c r="D3" s="6" cm="1">
        <f t="array" ref="D3">SUMIFS(operations[[Amount]:[Amount]],operations[[Category]:[Category]],Summary_1[[#This Row],[Category]:[Category]],operations[[Month]:[Month]],Summary_1[[#Headers],[2]])</f>
        <v>0</v>
      </c>
      <c r="E3" s="6" cm="1">
        <f t="array" ref="E3">SUMIFS(operations[[Amount]:[Amount]],operations[[Category]:[Category]],Summary_1[[#This Row],[Category]:[Category]],operations[[Month]:[Month]],Summary_1[[#Headers],[3]])</f>
        <v>-469.9</v>
      </c>
      <c r="F3" s="6" cm="1">
        <f t="array" ref="F3">SUMIFS(operations[[Amount]:[Amount]],operations[[Category]:[Category]],Summary_1[[#This Row],[Category]:[Category]],operations[[Month]:[Month]],Summary_1[[#Headers],[4]])</f>
        <v>-149</v>
      </c>
      <c r="G3" s="6" cm="1">
        <f t="array" ref="G3">SUMIFS(operations[[Amount]:[Amount]],operations[[Category]:[Category]],Summary_1[[#This Row],[Category]:[Category]],operations[[Month]:[Month]],Summary_1[[#Headers],[5]])</f>
        <v>0</v>
      </c>
      <c r="H3" s="6" cm="1">
        <f t="array" ref="H3">SUMIFS(operations[[Amount]:[Amount]],operations[[Category]:[Category]],Summary_1[[#This Row],[Category]:[Category]],operations[[Month]:[Month]],Summary_1[[#Headers],[6]])</f>
        <v>-300</v>
      </c>
      <c r="I3" s="6" cm="1">
        <f t="array" ref="I3">SUMIFS(operations[[Amount]:[Amount]],operations[[Category]:[Category]],Summary_1[[#This Row],[Category]:[Category]],operations[[Month]:[Month]],Summary_1[[#Headers],[7]])</f>
        <v>250</v>
      </c>
      <c r="J3" s="6" cm="1">
        <f t="array" ref="J3">SUMIFS(operations[[Amount]:[Amount]],operations[[Category]:[Category]],Summary_1[[#This Row],[Category]:[Category]],operations[[Month]:[Month]],Summary_1[[#Headers],[8]])</f>
        <v>-300</v>
      </c>
      <c r="K3" s="6" cm="1">
        <f t="array" ref="K3">SUMIFS(operations[[Amount]:[Amount]],operations[[Category]:[Category]],Summary_1[[#This Row],[Category]:[Category]],operations[[Month]:[Month]],Summary_1[[#Headers],[9]])</f>
        <v>0</v>
      </c>
      <c r="L3" s="6" cm="1">
        <f t="array" ref="L3">SUMIFS(operations[[Amount]:[Amount]],operations[[Category]:[Category]],Summary_1[[#This Row],[Category]:[Category]],operations[[Month]:[Month]],Summary_1[[#Headers],[10]])</f>
        <v>0</v>
      </c>
      <c r="M3" s="6" cm="1">
        <f t="array" ref="M3">SUMIFS(operations[[Amount]:[Amount]],operations[[Category]:[Category]],Summary_1[[#This Row],[Category]:[Category]],operations[[Month]:[Month]],Summary_1[[#Headers],[11]])</f>
        <v>-158</v>
      </c>
      <c r="N3" s="6" cm="1">
        <f t="array" ref="N3">SUMIFS(operations[[Amount]:[Amount]],operations[[Category]:[Category]],Summary_1[[#This Row],[Category]:[Category]],operations[[Month]:[Month]],Summary_1[[#Headers],[12]])</f>
        <v>-120</v>
      </c>
    </row>
    <row r="4" spans="1:14" x14ac:dyDescent="0.25">
      <c r="A4" t="s">
        <v>20</v>
      </c>
      <c r="B4" t="s">
        <v>38</v>
      </c>
      <c r="C4" s="6" cm="1">
        <f t="array" ref="C4">SUMIFS(operations[[Amount]:[Amount]],operations[[Category]:[Category]],Summary_1[[#This Row],[Category]:[Category]],operations[[Month]:[Month]],Summary_1[[#Headers],[1]])</f>
        <v>-85</v>
      </c>
      <c r="D4" s="6" cm="1">
        <f t="array" ref="D4">SUMIFS(operations[[Amount]:[Amount]],operations[[Category]:[Category]],Summary_1[[#This Row],[Category]:[Category]],operations[[Month]:[Month]],Summary_1[[#Headers],[2]])</f>
        <v>-350</v>
      </c>
      <c r="E4" s="6" cm="1">
        <f t="array" ref="E4">SUMIFS(operations[[Amount]:[Amount]],operations[[Category]:[Category]],Summary_1[[#This Row],[Category]:[Category]],operations[[Month]:[Month]],Summary_1[[#Headers],[3]])</f>
        <v>-200</v>
      </c>
      <c r="F4" s="6" cm="1">
        <f t="array" ref="F4">SUMIFS(operations[[Amount]:[Amount]],operations[[Category]:[Category]],Summary_1[[#This Row],[Category]:[Category]],operations[[Month]:[Month]],Summary_1[[#Headers],[4]])</f>
        <v>-1057.9000000000001</v>
      </c>
      <c r="G4" s="6" cm="1">
        <f t="array" ref="G4">SUMIFS(operations[[Amount]:[Amount]],operations[[Category]:[Category]],Summary_1[[#This Row],[Category]:[Category]],operations[[Month]:[Month]],Summary_1[[#Headers],[5]])</f>
        <v>-80</v>
      </c>
      <c r="H4" s="6" cm="1">
        <f t="array" ref="H4">SUMIFS(operations[[Amount]:[Amount]],operations[[Category]:[Category]],Summary_1[[#This Row],[Category]:[Category]],operations[[Month]:[Month]],Summary_1[[#Headers],[6]])</f>
        <v>-200</v>
      </c>
      <c r="I4" s="6" cm="1">
        <f t="array" ref="I4">SUMIFS(operations[[Amount]:[Amount]],operations[[Category]:[Category]],Summary_1[[#This Row],[Category]:[Category]],operations[[Month]:[Month]],Summary_1[[#Headers],[7]])</f>
        <v>-700</v>
      </c>
      <c r="J4" s="6" cm="1">
        <f t="array" ref="J4">SUMIFS(operations[[Amount]:[Amount]],operations[[Category]:[Category]],Summary_1[[#This Row],[Category]:[Category]],operations[[Month]:[Month]],Summary_1[[#Headers],[8]])</f>
        <v>-250</v>
      </c>
      <c r="K4" s="6" cm="1">
        <f t="array" ref="K4">SUMIFS(operations[[Amount]:[Amount]],operations[[Category]:[Category]],Summary_1[[#This Row],[Category]:[Category]],operations[[Month]:[Month]],Summary_1[[#Headers],[9]])</f>
        <v>-20</v>
      </c>
      <c r="L4" s="6" cm="1">
        <f t="array" ref="L4">SUMIFS(operations[[Amount]:[Amount]],operations[[Category]:[Category]],Summary_1[[#This Row],[Category]:[Category]],operations[[Month]:[Month]],Summary_1[[#Headers],[10]])</f>
        <v>-40</v>
      </c>
      <c r="M4" s="6" cm="1">
        <f t="array" ref="M4">SUMIFS(operations[[Amount]:[Amount]],operations[[Category]:[Category]],Summary_1[[#This Row],[Category]:[Category]],operations[[Month]:[Month]],Summary_1[[#Headers],[11]])</f>
        <v>-214</v>
      </c>
      <c r="N4" s="6" cm="1">
        <f t="array" ref="N4">SUMIFS(operations[[Amount]:[Amount]],operations[[Category]:[Category]],Summary_1[[#This Row],[Category]:[Category]],operations[[Month]:[Month]],Summary_1[[#Headers],[12]])</f>
        <v>-450</v>
      </c>
    </row>
    <row r="5" spans="1:14" x14ac:dyDescent="0.25">
      <c r="A5" t="s">
        <v>17</v>
      </c>
      <c r="B5" t="s">
        <v>38</v>
      </c>
      <c r="C5" s="6" cm="1">
        <f t="array" ref="C5">SUMIFS(operations[[Amount]:[Amount]],operations[[Category]:[Category]],Summary_1[[#This Row],[Category]:[Category]],operations[[Month]:[Month]],Summary_1[[#Headers],[1]])</f>
        <v>-1715</v>
      </c>
      <c r="D5" s="6" cm="1">
        <f t="array" ref="D5">SUMIFS(operations[[Amount]:[Amount]],operations[[Category]:[Category]],Summary_1[[#This Row],[Category]:[Category]],operations[[Month]:[Month]],Summary_1[[#Headers],[2]])</f>
        <v>-405.5</v>
      </c>
      <c r="E5" s="6" cm="1">
        <f t="array" ref="E5">SUMIFS(operations[[Amount]:[Amount]],operations[[Category]:[Category]],Summary_1[[#This Row],[Category]:[Category]],operations[[Month]:[Month]],Summary_1[[#Headers],[3]])</f>
        <v>-734.99</v>
      </c>
      <c r="F5" s="6" cm="1">
        <f t="array" ref="F5">SUMIFS(operations[[Amount]:[Amount]],operations[[Category]:[Category]],Summary_1[[#This Row],[Category]:[Category]],operations[[Month]:[Month]],Summary_1[[#Headers],[4]])</f>
        <v>-372.26</v>
      </c>
      <c r="G5" s="6" cm="1">
        <f t="array" ref="G5">SUMIFS(operations[[Amount]:[Amount]],operations[[Category]:[Category]],Summary_1[[#This Row],[Category]:[Category]],operations[[Month]:[Month]],Summary_1[[#Headers],[5]])</f>
        <v>-1000</v>
      </c>
      <c r="H5" s="6" cm="1">
        <f t="array" ref="H5">SUMIFS(operations[[Amount]:[Amount]],operations[[Category]:[Category]],Summary_1[[#This Row],[Category]:[Category]],operations[[Month]:[Month]],Summary_1[[#Headers],[6]])</f>
        <v>-1000</v>
      </c>
      <c r="I5" s="6" cm="1">
        <f t="array" ref="I5">SUMIFS(operations[[Amount]:[Amount]],operations[[Category]:[Category]],Summary_1[[#This Row],[Category]:[Category]],operations[[Month]:[Month]],Summary_1[[#Headers],[7]])</f>
        <v>-165</v>
      </c>
      <c r="J5" s="6" cm="1">
        <f t="array" ref="J5">SUMIFS(operations[[Amount]:[Amount]],operations[[Category]:[Category]],Summary_1[[#This Row],[Category]:[Category]],operations[[Month]:[Month]],Summary_1[[#Headers],[8]])</f>
        <v>-749.5</v>
      </c>
      <c r="K5" s="6" cm="1">
        <f t="array" ref="K5">SUMIFS(operations[[Amount]:[Amount]],operations[[Category]:[Category]],Summary_1[[#This Row],[Category]:[Category]],operations[[Month]:[Month]],Summary_1[[#Headers],[9]])</f>
        <v>-538.5</v>
      </c>
      <c r="L5" s="6" cm="1">
        <f t="array" ref="L5">SUMIFS(operations[[Amount]:[Amount]],operations[[Category]:[Category]],Summary_1[[#This Row],[Category]:[Category]],operations[[Month]:[Month]],Summary_1[[#Headers],[10]])</f>
        <v>-600</v>
      </c>
      <c r="M5" s="6" cm="1">
        <f t="array" ref="M5">SUMIFS(operations[[Amount]:[Amount]],operations[[Category]:[Category]],Summary_1[[#This Row],[Category]:[Category]],operations[[Month]:[Month]],Summary_1[[#Headers],[11]])</f>
        <v>-506</v>
      </c>
      <c r="N5" s="6" cm="1">
        <f t="array" ref="N5">SUMIFS(operations[[Amount]:[Amount]],operations[[Category]:[Category]],Summary_1[[#This Row],[Category]:[Category]],operations[[Month]:[Month]],Summary_1[[#Headers],[12]])</f>
        <v>-700</v>
      </c>
    </row>
    <row r="6" spans="1:14" x14ac:dyDescent="0.25">
      <c r="A6" t="s">
        <v>21</v>
      </c>
      <c r="B6" t="s">
        <v>38</v>
      </c>
      <c r="C6" s="6" cm="1">
        <f t="array" ref="C6">SUMIFS(operations[[Amount]:[Amount]],operations[[Category]:[Category]],Summary_1[[#This Row],[Category]:[Category]],operations[[Month]:[Month]],Summary_1[[#Headers],[1]])</f>
        <v>-100</v>
      </c>
      <c r="D6" s="6" cm="1">
        <f t="array" ref="D6">SUMIFS(operations[[Amount]:[Amount]],operations[[Category]:[Category]],Summary_1[[#This Row],[Category]:[Category]],operations[[Month]:[Month]],Summary_1[[#Headers],[2]])</f>
        <v>-250</v>
      </c>
      <c r="E6" s="6" cm="1">
        <f t="array" ref="E6">SUMIFS(operations[[Amount]:[Amount]],operations[[Category]:[Category]],Summary_1[[#This Row],[Category]:[Category]],operations[[Month]:[Month]],Summary_1[[#Headers],[3]])</f>
        <v>-9.5</v>
      </c>
      <c r="F6" s="6" cm="1">
        <f t="array" ref="F6">SUMIFS(operations[[Amount]:[Amount]],operations[[Category]:[Category]],Summary_1[[#This Row],[Category]:[Category]],operations[[Month]:[Month]],Summary_1[[#Headers],[4]])</f>
        <v>-23.5</v>
      </c>
      <c r="G6" s="6" cm="1">
        <f t="array" ref="G6">SUMIFS(operations[[Amount]:[Amount]],operations[[Category]:[Category]],Summary_1[[#This Row],[Category]:[Category]],operations[[Month]:[Month]],Summary_1[[#Headers],[5]])</f>
        <v>0</v>
      </c>
      <c r="H6" s="6" cm="1">
        <f t="array" ref="H6">SUMIFS(operations[[Amount]:[Amount]],operations[[Category]:[Category]],Summary_1[[#This Row],[Category]:[Category]],operations[[Month]:[Month]],Summary_1[[#Headers],[6]])</f>
        <v>-100</v>
      </c>
      <c r="I6" s="6" cm="1">
        <f t="array" ref="I6">SUMIFS(operations[[Amount]:[Amount]],operations[[Category]:[Category]],Summary_1[[#This Row],[Category]:[Category]],operations[[Month]:[Month]],Summary_1[[#Headers],[7]])</f>
        <v>-300</v>
      </c>
      <c r="J6" s="6" cm="1">
        <f t="array" ref="J6">SUMIFS(operations[[Amount]:[Amount]],operations[[Category]:[Category]],Summary_1[[#This Row],[Category]:[Category]],operations[[Month]:[Month]],Summary_1[[#Headers],[8]])</f>
        <v>-400</v>
      </c>
      <c r="K6" s="6" cm="1">
        <f t="array" ref="K6">SUMIFS(operations[[Amount]:[Amount]],operations[[Category]:[Category]],Summary_1[[#This Row],[Category]:[Category]],operations[[Month]:[Month]],Summary_1[[#Headers],[9]])</f>
        <v>0</v>
      </c>
      <c r="L6" s="6" cm="1">
        <f t="array" ref="L6">SUMIFS(operations[[Amount]:[Amount]],operations[[Category]:[Category]],Summary_1[[#This Row],[Category]:[Category]],operations[[Month]:[Month]],Summary_1[[#Headers],[10]])</f>
        <v>0</v>
      </c>
      <c r="M6" s="6" cm="1">
        <f t="array" ref="M6">SUMIFS(operations[[Amount]:[Amount]],operations[[Category]:[Category]],Summary_1[[#This Row],[Category]:[Category]],operations[[Month]:[Month]],Summary_1[[#Headers],[11]])</f>
        <v>-133</v>
      </c>
      <c r="N6" s="6" cm="1">
        <f t="array" ref="N6">SUMIFS(operations[[Amount]:[Amount]],operations[[Category]:[Category]],Summary_1[[#This Row],[Category]:[Category]],operations[[Month]:[Month]],Summary_1[[#Headers],[12]])</f>
        <v>-10</v>
      </c>
    </row>
    <row r="7" spans="1:14" x14ac:dyDescent="0.25">
      <c r="A7" t="s">
        <v>19</v>
      </c>
      <c r="B7" t="s">
        <v>38</v>
      </c>
      <c r="C7" s="6" cm="1">
        <f t="array" ref="C7">SUMIFS(operations[[Amount]:[Amount]],operations[[Category]:[Category]],Summary_1[[#This Row],[Category]:[Category]],operations[[Month]:[Month]],Summary_1[[#Headers],[1]])</f>
        <v>-150</v>
      </c>
      <c r="D7" s="6" cm="1">
        <f t="array" ref="D7">SUMIFS(operations[[Amount]:[Amount]],operations[[Category]:[Category]],Summary_1[[#This Row],[Category]:[Category]],operations[[Month]:[Month]],Summary_1[[#Headers],[2]])</f>
        <v>-150</v>
      </c>
      <c r="E7" s="6" cm="1">
        <f t="array" ref="E7">SUMIFS(operations[[Amount]:[Amount]],operations[[Category]:[Category]],Summary_1[[#This Row],[Category]:[Category]],operations[[Month]:[Month]],Summary_1[[#Headers],[3]])</f>
        <v>-23</v>
      </c>
      <c r="F7" s="6" cm="1">
        <f t="array" ref="F7">SUMIFS(operations[[Amount]:[Amount]],operations[[Category]:[Category]],Summary_1[[#This Row],[Category]:[Category]],operations[[Month]:[Month]],Summary_1[[#Headers],[4]])</f>
        <v>-49</v>
      </c>
      <c r="G7" s="6" cm="1">
        <f t="array" ref="G7">SUMIFS(operations[[Amount]:[Amount]],operations[[Category]:[Category]],Summary_1[[#This Row],[Category]:[Category]],operations[[Month]:[Month]],Summary_1[[#Headers],[5]])</f>
        <v>-50</v>
      </c>
      <c r="H7" s="6" cm="1">
        <f t="array" ref="H7">SUMIFS(operations[[Amount]:[Amount]],operations[[Category]:[Category]],Summary_1[[#This Row],[Category]:[Category]],operations[[Month]:[Month]],Summary_1[[#Headers],[6]])</f>
        <v>-50</v>
      </c>
      <c r="I7" s="6" cm="1">
        <f t="array" ref="I7">SUMIFS(operations[[Amount]:[Amount]],operations[[Category]:[Category]],Summary_1[[#This Row],[Category]:[Category]],operations[[Month]:[Month]],Summary_1[[#Headers],[7]])</f>
        <v>0</v>
      </c>
      <c r="J7" s="6" cm="1">
        <f t="array" ref="J7">SUMIFS(operations[[Amount]:[Amount]],operations[[Category]:[Category]],Summary_1[[#This Row],[Category]:[Category]],operations[[Month]:[Month]],Summary_1[[#Headers],[8]])</f>
        <v>0</v>
      </c>
      <c r="K7" s="6" cm="1">
        <f t="array" ref="K7">SUMIFS(operations[[Amount]:[Amount]],operations[[Category]:[Category]],Summary_1[[#This Row],[Category]:[Category]],operations[[Month]:[Month]],Summary_1[[#Headers],[9]])</f>
        <v>-40</v>
      </c>
      <c r="L7" s="6" cm="1">
        <f t="array" ref="L7">SUMIFS(operations[[Amount]:[Amount]],operations[[Category]:[Category]],Summary_1[[#This Row],[Category]:[Category]],operations[[Month]:[Month]],Summary_1[[#Headers],[10]])</f>
        <v>-40</v>
      </c>
      <c r="M7" s="6" cm="1">
        <f t="array" ref="M7">SUMIFS(operations[[Amount]:[Amount]],operations[[Category]:[Category]],Summary_1[[#This Row],[Category]:[Category]],operations[[Month]:[Month]],Summary_1[[#Headers],[11]])</f>
        <v>-47</v>
      </c>
      <c r="N7" s="6" cm="1">
        <f t="array" ref="N7">SUMIFS(operations[[Amount]:[Amount]],operations[[Category]:[Category]],Summary_1[[#This Row],[Category]:[Category]],operations[[Month]:[Month]],Summary_1[[#Headers],[12]])</f>
        <v>0</v>
      </c>
    </row>
    <row r="8" spans="1:14" x14ac:dyDescent="0.25">
      <c r="A8" t="s">
        <v>24</v>
      </c>
      <c r="B8" t="s">
        <v>38</v>
      </c>
      <c r="C8" s="6" cm="1">
        <f t="array" ref="C8">SUMIFS(operations[[Amount]:[Amount]],operations[[Category]:[Category]],Summary_1[[#This Row],[Category]:[Category]],operations[[Month]:[Month]],Summary_1[[#Headers],[1]])</f>
        <v>-500</v>
      </c>
      <c r="D8" s="6" cm="1">
        <f t="array" ref="D8">SUMIFS(operations[[Amount]:[Amount]],operations[[Category]:[Category]],Summary_1[[#This Row],[Category]:[Category]],operations[[Month]:[Month]],Summary_1[[#Headers],[2]])</f>
        <v>-765</v>
      </c>
      <c r="E8" s="6" cm="1">
        <f t="array" ref="E8">SUMIFS(operations[[Amount]:[Amount]],operations[[Category]:[Category]],Summary_1[[#This Row],[Category]:[Category]],operations[[Month]:[Month]],Summary_1[[#Headers],[3]])</f>
        <v>-300</v>
      </c>
      <c r="F8" s="6" cm="1">
        <f t="array" ref="F8">SUMIFS(operations[[Amount]:[Amount]],operations[[Category]:[Category]],Summary_1[[#This Row],[Category]:[Category]],operations[[Month]:[Month]],Summary_1[[#Headers],[4]])</f>
        <v>-100</v>
      </c>
      <c r="G8" s="6" cm="1">
        <f t="array" ref="G8">SUMIFS(operations[[Amount]:[Amount]],operations[[Category]:[Category]],Summary_1[[#This Row],[Category]:[Category]],operations[[Month]:[Month]],Summary_1[[#Headers],[5]])</f>
        <v>0</v>
      </c>
      <c r="H8" s="6" cm="1">
        <f t="array" ref="H8">SUMIFS(operations[[Amount]:[Amount]],operations[[Category]:[Category]],Summary_1[[#This Row],[Category]:[Category]],operations[[Month]:[Month]],Summary_1[[#Headers],[6]])</f>
        <v>0</v>
      </c>
      <c r="I8" s="6" cm="1">
        <f t="array" ref="I8">SUMIFS(operations[[Amount]:[Amount]],operations[[Category]:[Category]],Summary_1[[#This Row],[Category]:[Category]],operations[[Month]:[Month]],Summary_1[[#Headers],[7]])</f>
        <v>0</v>
      </c>
      <c r="J8" s="6" cm="1">
        <f t="array" ref="J8">SUMIFS(operations[[Amount]:[Amount]],operations[[Category]:[Category]],Summary_1[[#This Row],[Category]:[Category]],operations[[Month]:[Month]],Summary_1[[#Headers],[8]])</f>
        <v>0</v>
      </c>
      <c r="K8" s="6" cm="1">
        <f t="array" ref="K8">SUMIFS(operations[[Amount]:[Amount]],operations[[Category]:[Category]],Summary_1[[#This Row],[Category]:[Category]],operations[[Month]:[Month]],Summary_1[[#Headers],[9]])</f>
        <v>0</v>
      </c>
      <c r="L8" s="6" cm="1">
        <f t="array" ref="L8">SUMIFS(operations[[Amount]:[Amount]],operations[[Category]:[Category]],Summary_1[[#This Row],[Category]:[Category]],operations[[Month]:[Month]],Summary_1[[#Headers],[10]])</f>
        <v>0</v>
      </c>
      <c r="M8" s="6" cm="1">
        <f t="array" ref="M8">SUMIFS(operations[[Amount]:[Amount]],operations[[Category]:[Category]],Summary_1[[#This Row],[Category]:[Category]],operations[[Month]:[Month]],Summary_1[[#Headers],[11]])</f>
        <v>-234</v>
      </c>
      <c r="N8" s="6" cm="1">
        <f t="array" ref="N8">SUMIFS(operations[[Amount]:[Amount]],operations[[Category]:[Category]],Summary_1[[#This Row],[Category]:[Category]],operations[[Month]:[Month]],Summary_1[[#Headers],[12]])</f>
        <v>-700</v>
      </c>
    </row>
    <row r="9" spans="1:14" x14ac:dyDescent="0.25">
      <c r="A9" t="s">
        <v>23</v>
      </c>
      <c r="B9" t="s">
        <v>38</v>
      </c>
      <c r="C9" s="6" cm="1">
        <f t="array" ref="C9">SUMIFS(operations[[Amount]:[Amount]],operations[[Category]:[Category]],Summary_1[[#This Row],[Category]:[Category]],operations[[Month]:[Month]],Summary_1[[#Headers],[1]])</f>
        <v>-100</v>
      </c>
      <c r="D9" s="6" cm="1">
        <f t="array" ref="D9">SUMIFS(operations[[Amount]:[Amount]],operations[[Category]:[Category]],Summary_1[[#This Row],[Category]:[Category]],operations[[Month]:[Month]],Summary_1[[#Headers],[2]])</f>
        <v>-100</v>
      </c>
      <c r="E9" s="6" cm="1">
        <f t="array" ref="E9">SUMIFS(operations[[Amount]:[Amount]],operations[[Category]:[Category]],Summary_1[[#This Row],[Category]:[Category]],operations[[Month]:[Month]],Summary_1[[#Headers],[3]])</f>
        <v>-79.5</v>
      </c>
      <c r="F9" s="6" cm="1">
        <f t="array" ref="F9">SUMIFS(operations[[Amount]:[Amount]],operations[[Category]:[Category]],Summary_1[[#This Row],[Category]:[Category]],operations[[Month]:[Month]],Summary_1[[#Headers],[4]])</f>
        <v>-139</v>
      </c>
      <c r="G9" s="6" cm="1">
        <f t="array" ref="G9">SUMIFS(operations[[Amount]:[Amount]],operations[[Category]:[Category]],Summary_1[[#This Row],[Category]:[Category]],operations[[Month]:[Month]],Summary_1[[#Headers],[5]])</f>
        <v>0</v>
      </c>
      <c r="H9" s="6" cm="1">
        <f t="array" ref="H9">SUMIFS(operations[[Amount]:[Amount]],operations[[Category]:[Category]],Summary_1[[#This Row],[Category]:[Category]],operations[[Month]:[Month]],Summary_1[[#Headers],[6]])</f>
        <v>0</v>
      </c>
      <c r="I9" s="6" cm="1">
        <f t="array" ref="I9">SUMIFS(operations[[Amount]:[Amount]],operations[[Category]:[Category]],Summary_1[[#This Row],[Category]:[Category]],operations[[Month]:[Month]],Summary_1[[#Headers],[7]])</f>
        <v>0</v>
      </c>
      <c r="J9" s="6" cm="1">
        <f t="array" ref="J9">SUMIFS(operations[[Amount]:[Amount]],operations[[Category]:[Category]],Summary_1[[#This Row],[Category]:[Category]],operations[[Month]:[Month]],Summary_1[[#Headers],[8]])</f>
        <v>0</v>
      </c>
      <c r="K9" s="6" cm="1">
        <f t="array" ref="K9">SUMIFS(operations[[Amount]:[Amount]],operations[[Category]:[Category]],Summary_1[[#This Row],[Category]:[Category]],operations[[Month]:[Month]],Summary_1[[#Headers],[9]])</f>
        <v>0</v>
      </c>
      <c r="L9" s="6" cm="1">
        <f t="array" ref="L9">SUMIFS(operations[[Amount]:[Amount]],operations[[Category]:[Category]],Summary_1[[#This Row],[Category]:[Category]],operations[[Month]:[Month]],Summary_1[[#Headers],[10]])</f>
        <v>0</v>
      </c>
      <c r="M9" s="6" cm="1">
        <f t="array" ref="M9">SUMIFS(operations[[Amount]:[Amount]],operations[[Category]:[Category]],Summary_1[[#This Row],[Category]:[Category]],operations[[Month]:[Month]],Summary_1[[#Headers],[11]])</f>
        <v>0</v>
      </c>
      <c r="N9" s="6" cm="1">
        <f t="array" ref="N9">SUMIFS(operations[[Amount]:[Amount]],operations[[Category]:[Category]],Summary_1[[#This Row],[Category]:[Category]],operations[[Month]:[Month]],Summary_1[[#Headers],[12]])</f>
        <v>-100</v>
      </c>
    </row>
    <row r="10" spans="1:14" x14ac:dyDescent="0.25">
      <c r="A10" t="s">
        <v>16</v>
      </c>
      <c r="B10" t="s">
        <v>38</v>
      </c>
      <c r="C10" s="6" cm="1">
        <f t="array" ref="C10">SUMIFS(operations[[Amount]:[Amount]],operations[[Category]:[Category]],Summary_1[[#This Row],[Category]:[Category]],operations[[Month]:[Month]],Summary_1[[#Headers],[1]])</f>
        <v>-80</v>
      </c>
      <c r="D10" s="6" cm="1">
        <f t="array" ref="D10">SUMIFS(operations[[Amount]:[Amount]],operations[[Category]:[Category]],Summary_1[[#This Row],[Category]:[Category]],operations[[Month]:[Month]],Summary_1[[#Headers],[2]])</f>
        <v>-80</v>
      </c>
      <c r="E10" s="6" cm="1">
        <f t="array" ref="E10">SUMIFS(operations[[Amount]:[Amount]],operations[[Category]:[Category]],Summary_1[[#This Row],[Category]:[Category]],operations[[Month]:[Month]],Summary_1[[#Headers],[3]])</f>
        <v>-82.5</v>
      </c>
      <c r="F10" s="6" cm="1">
        <f t="array" ref="F10">SUMIFS(operations[[Amount]:[Amount]],operations[[Category]:[Category]],Summary_1[[#This Row],[Category]:[Category]],operations[[Month]:[Month]],Summary_1[[#Headers],[4]])</f>
        <v>-82.5</v>
      </c>
      <c r="G10" s="6" cm="1">
        <f t="array" ref="G10">SUMIFS(operations[[Amount]:[Amount]],operations[[Category]:[Category]],Summary_1[[#This Row],[Category]:[Category]],operations[[Month]:[Month]],Summary_1[[#Headers],[5]])</f>
        <v>-80</v>
      </c>
      <c r="H10" s="6" cm="1">
        <f t="array" ref="H10">SUMIFS(operations[[Amount]:[Amount]],operations[[Category]:[Category]],Summary_1[[#This Row],[Category]:[Category]],operations[[Month]:[Month]],Summary_1[[#Headers],[6]])</f>
        <v>-80</v>
      </c>
      <c r="I10" s="6" cm="1">
        <f t="array" ref="I10">SUMIFS(operations[[Amount]:[Amount]],operations[[Category]:[Category]],Summary_1[[#This Row],[Category]:[Category]],operations[[Month]:[Month]],Summary_1[[#Headers],[7]])</f>
        <v>-90</v>
      </c>
      <c r="J10" s="6" cm="1">
        <f t="array" ref="J10">SUMIFS(operations[[Amount]:[Amount]],operations[[Category]:[Category]],Summary_1[[#This Row],[Category]:[Category]],operations[[Month]:[Month]],Summary_1[[#Headers],[8]])</f>
        <v>-290</v>
      </c>
      <c r="K10" s="6" cm="1">
        <f t="array" ref="K10">SUMIFS(operations[[Amount]:[Amount]],operations[[Category]:[Category]],Summary_1[[#This Row],[Category]:[Category]],operations[[Month]:[Month]],Summary_1[[#Headers],[9]])</f>
        <v>-150</v>
      </c>
      <c r="L10" s="6" cm="1">
        <f t="array" ref="L10">SUMIFS(operations[[Amount]:[Amount]],operations[[Category]:[Category]],Summary_1[[#This Row],[Category]:[Category]],operations[[Month]:[Month]],Summary_1[[#Headers],[10]])</f>
        <v>-150</v>
      </c>
      <c r="M10" s="6" cm="1">
        <f t="array" ref="M10">SUMIFS(operations[[Amount]:[Amount]],operations[[Category]:[Category]],Summary_1[[#This Row],[Category]:[Category]],operations[[Month]:[Month]],Summary_1[[#Headers],[11]])</f>
        <v>-208</v>
      </c>
      <c r="N10" s="6" cm="1">
        <f t="array" ref="N10">SUMIFS(operations[[Amount]:[Amount]],operations[[Category]:[Category]],Summary_1[[#This Row],[Category]:[Category]],operations[[Month]:[Month]],Summary_1[[#Headers],[12]])</f>
        <v>0</v>
      </c>
    </row>
    <row r="11" spans="1:14" x14ac:dyDescent="0.25">
      <c r="A11" t="s">
        <v>25</v>
      </c>
      <c r="B11" t="s">
        <v>32</v>
      </c>
      <c r="C11" s="6" cm="1">
        <f t="array" ref="C11">SUMIFS(operations[[Amount]:[Amount]],operations[[Category]:[Category]],Summary_1[[#This Row],[Category]:[Category]],operations[[Month]:[Month]],Summary_1[[#Headers],[1]])</f>
        <v>250</v>
      </c>
      <c r="D11" s="6" cm="1">
        <f t="array" ref="D11">SUMIFS(operations[[Amount]:[Amount]],operations[[Category]:[Category]],Summary_1[[#This Row],[Category]:[Category]],operations[[Month]:[Month]],Summary_1[[#Headers],[2]])</f>
        <v>0</v>
      </c>
      <c r="E11" s="6" cm="1">
        <f t="array" ref="E11">SUMIFS(operations[[Amount]:[Amount]],operations[[Category]:[Category]],Summary_1[[#This Row],[Category]:[Category]],operations[[Month]:[Month]],Summary_1[[#Headers],[3]])</f>
        <v>0</v>
      </c>
      <c r="F11" s="6" cm="1">
        <f t="array" ref="F11">SUMIFS(operations[[Amount]:[Amount]],operations[[Category]:[Category]],Summary_1[[#This Row],[Category]:[Category]],operations[[Month]:[Month]],Summary_1[[#Headers],[4]])</f>
        <v>0</v>
      </c>
      <c r="G11" s="6" cm="1">
        <f t="array" ref="G11">SUMIFS(operations[[Amount]:[Amount]],operations[[Category]:[Category]],Summary_1[[#This Row],[Category]:[Category]],operations[[Month]:[Month]],Summary_1[[#Headers],[5]])</f>
        <v>0</v>
      </c>
      <c r="H11" s="6" cm="1">
        <f t="array" ref="H11">SUMIFS(operations[[Amount]:[Amount]],operations[[Category]:[Category]],Summary_1[[#This Row],[Category]:[Category]],operations[[Month]:[Month]],Summary_1[[#Headers],[6]])</f>
        <v>400</v>
      </c>
      <c r="I11" s="6" cm="1">
        <f t="array" ref="I11">SUMIFS(operations[[Amount]:[Amount]],operations[[Category]:[Category]],Summary_1[[#This Row],[Category]:[Category]],operations[[Month]:[Month]],Summary_1[[#Headers],[7]])</f>
        <v>0</v>
      </c>
      <c r="J11" s="6" cm="1">
        <f t="array" ref="J11">SUMIFS(operations[[Amount]:[Amount]],operations[[Category]:[Category]],Summary_1[[#This Row],[Category]:[Category]],operations[[Month]:[Month]],Summary_1[[#Headers],[8]])</f>
        <v>0</v>
      </c>
      <c r="K11" s="6" cm="1">
        <f t="array" ref="K11">SUMIFS(operations[[Amount]:[Amount]],operations[[Category]:[Category]],Summary_1[[#This Row],[Category]:[Category]],operations[[Month]:[Month]],Summary_1[[#Headers],[9]])</f>
        <v>0</v>
      </c>
      <c r="L11" s="6" cm="1">
        <f t="array" ref="L11">SUMIFS(operations[[Amount]:[Amount]],operations[[Category]:[Category]],Summary_1[[#This Row],[Category]:[Category]],operations[[Month]:[Month]],Summary_1[[#Headers],[10]])</f>
        <v>0</v>
      </c>
      <c r="M11" s="6" cm="1">
        <f t="array" ref="M11">SUMIFS(operations[[Amount]:[Amount]],operations[[Category]:[Category]],Summary_1[[#This Row],[Category]:[Category]],operations[[Month]:[Month]],Summary_1[[#Headers],[11]])</f>
        <v>0</v>
      </c>
      <c r="N11" s="6" cm="1">
        <f t="array" ref="N11">SUMIFS(operations[[Amount]:[Amount]],operations[[Category]:[Category]],Summary_1[[#This Row],[Category]:[Category]],operations[[Month]:[Month]],Summary_1[[#Headers],[12]])</f>
        <v>0</v>
      </c>
    </row>
    <row r="12" spans="1:14" x14ac:dyDescent="0.25">
      <c r="A12" t="s">
        <v>28</v>
      </c>
      <c r="B12" t="s">
        <v>32</v>
      </c>
      <c r="C12" s="6" cm="1">
        <f t="array" ref="C12">SUMIFS(operations[[Amount]:[Amount]],operations[[Category]:[Category]],Summary_1[[#This Row],[Category]:[Category]],operations[[Month]:[Month]],Summary_1[[#Headers],[1]])</f>
        <v>105.5</v>
      </c>
      <c r="D12" s="6" cm="1">
        <f t="array" ref="D12">SUMIFS(operations[[Amount]:[Amount]],operations[[Category]:[Category]],Summary_1[[#This Row],[Category]:[Category]],operations[[Month]:[Month]],Summary_1[[#Headers],[2]])</f>
        <v>115</v>
      </c>
      <c r="E12" s="6" cm="1">
        <f t="array" ref="E12">SUMIFS(operations[[Amount]:[Amount]],operations[[Category]:[Category]],Summary_1[[#This Row],[Category]:[Category]],operations[[Month]:[Month]],Summary_1[[#Headers],[3]])</f>
        <v>150</v>
      </c>
      <c r="F12" s="6" cm="1">
        <f t="array" ref="F12">SUMIFS(operations[[Amount]:[Amount]],operations[[Category]:[Category]],Summary_1[[#This Row],[Category]:[Category]],operations[[Month]:[Month]],Summary_1[[#Headers],[4]])</f>
        <v>150</v>
      </c>
      <c r="G12" s="6" cm="1">
        <f t="array" ref="G12">SUMIFS(operations[[Amount]:[Amount]],operations[[Category]:[Category]],Summary_1[[#This Row],[Category]:[Category]],operations[[Month]:[Month]],Summary_1[[#Headers],[5]])</f>
        <v>0</v>
      </c>
      <c r="H12" s="6" cm="1">
        <f t="array" ref="H12">SUMIFS(operations[[Amount]:[Amount]],operations[[Category]:[Category]],Summary_1[[#This Row],[Category]:[Category]],operations[[Month]:[Month]],Summary_1[[#Headers],[6]])</f>
        <v>0</v>
      </c>
      <c r="I12" s="6" cm="1">
        <f t="array" ref="I12">SUMIFS(operations[[Amount]:[Amount]],operations[[Category]:[Category]],Summary_1[[#This Row],[Category]:[Category]],operations[[Month]:[Month]],Summary_1[[#Headers],[7]])</f>
        <v>120</v>
      </c>
      <c r="J12" s="6" cm="1">
        <f t="array" ref="J12">SUMIFS(operations[[Amount]:[Amount]],operations[[Category]:[Category]],Summary_1[[#This Row],[Category]:[Category]],operations[[Month]:[Month]],Summary_1[[#Headers],[8]])</f>
        <v>0</v>
      </c>
      <c r="K12" s="6" cm="1">
        <f t="array" ref="K12">SUMIFS(operations[[Amount]:[Amount]],operations[[Category]:[Category]],Summary_1[[#This Row],[Category]:[Category]],operations[[Month]:[Month]],Summary_1[[#Headers],[9]])</f>
        <v>0</v>
      </c>
      <c r="L12" s="6" cm="1">
        <f t="array" ref="L12">SUMIFS(operations[[Amount]:[Amount]],operations[[Category]:[Category]],Summary_1[[#This Row],[Category]:[Category]],operations[[Month]:[Month]],Summary_1[[#Headers],[10]])</f>
        <v>0</v>
      </c>
      <c r="M12" s="6" cm="1">
        <f t="array" ref="M12">SUMIFS(operations[[Amount]:[Amount]],operations[[Category]:[Category]],Summary_1[[#This Row],[Category]:[Category]],operations[[Month]:[Month]],Summary_1[[#Headers],[11]])</f>
        <v>0</v>
      </c>
      <c r="N12" s="6" cm="1">
        <f t="array" ref="N12">SUMIFS(operations[[Amount]:[Amount]],operations[[Category]:[Category]],Summary_1[[#This Row],[Category]:[Category]],operations[[Month]:[Month]],Summary_1[[#Headers],[12]])</f>
        <v>0</v>
      </c>
    </row>
    <row r="13" spans="1:14" x14ac:dyDescent="0.25">
      <c r="A13" t="s">
        <v>29</v>
      </c>
      <c r="B13" t="s">
        <v>32</v>
      </c>
      <c r="C13" s="6" cm="1">
        <f t="array" ref="C13">SUMIFS(operations[[Amount]:[Amount]],operations[[Category]:[Category]],Summary_1[[#This Row],[Category]:[Category]],operations[[Month]:[Month]],Summary_1[[#Headers],[1]])</f>
        <v>0</v>
      </c>
      <c r="D13" s="6" cm="1">
        <f t="array" ref="D13">SUMIFS(operations[[Amount]:[Amount]],operations[[Category]:[Category]],Summary_1[[#This Row],[Category]:[Category]],operations[[Month]:[Month]],Summary_1[[#Headers],[2]])</f>
        <v>0</v>
      </c>
      <c r="E13" s="6" cm="1">
        <f t="array" ref="E13">SUMIFS(operations[[Amount]:[Amount]],operations[[Category]:[Category]],Summary_1[[#This Row],[Category]:[Category]],operations[[Month]:[Month]],Summary_1[[#Headers],[3]])</f>
        <v>5</v>
      </c>
      <c r="F13" s="6" cm="1">
        <f t="array" ref="F13">SUMIFS(operations[[Amount]:[Amount]],operations[[Category]:[Category]],Summary_1[[#This Row],[Category]:[Category]],operations[[Month]:[Month]],Summary_1[[#Headers],[4]])</f>
        <v>50</v>
      </c>
      <c r="G13" s="6" cm="1">
        <f t="array" ref="G13">SUMIFS(operations[[Amount]:[Amount]],operations[[Category]:[Category]],Summary_1[[#This Row],[Category]:[Category]],operations[[Month]:[Month]],Summary_1[[#Headers],[5]])</f>
        <v>0</v>
      </c>
      <c r="H13" s="6" cm="1">
        <f t="array" ref="H13">SUMIFS(operations[[Amount]:[Amount]],operations[[Category]:[Category]],Summary_1[[#This Row],[Category]:[Category]],operations[[Month]:[Month]],Summary_1[[#Headers],[6]])</f>
        <v>0</v>
      </c>
      <c r="I13" s="6" cm="1">
        <f t="array" ref="I13">SUMIFS(operations[[Amount]:[Amount]],operations[[Category]:[Category]],Summary_1[[#This Row],[Category]:[Category]],operations[[Month]:[Month]],Summary_1[[#Headers],[7]])</f>
        <v>800</v>
      </c>
      <c r="J13" s="6" cm="1">
        <f t="array" ref="J13">SUMIFS(operations[[Amount]:[Amount]],operations[[Category]:[Category]],Summary_1[[#This Row],[Category]:[Category]],operations[[Month]:[Month]],Summary_1[[#Headers],[8]])</f>
        <v>400</v>
      </c>
      <c r="K13" s="6" cm="1">
        <f t="array" ref="K13">SUMIFS(operations[[Amount]:[Amount]],operations[[Category]:[Category]],Summary_1[[#This Row],[Category]:[Category]],operations[[Month]:[Month]],Summary_1[[#Headers],[9]])</f>
        <v>0</v>
      </c>
      <c r="L13" s="6" cm="1">
        <f t="array" ref="L13">SUMIFS(operations[[Amount]:[Amount]],operations[[Category]:[Category]],Summary_1[[#This Row],[Category]:[Category]],operations[[Month]:[Month]],Summary_1[[#Headers],[10]])</f>
        <v>0</v>
      </c>
      <c r="M13" s="6" cm="1">
        <f t="array" ref="M13">SUMIFS(operations[[Amount]:[Amount]],operations[[Category]:[Category]],Summary_1[[#This Row],[Category]:[Category]],operations[[Month]:[Month]],Summary_1[[#Headers],[11]])</f>
        <v>400</v>
      </c>
      <c r="N13" s="6" cm="1">
        <f t="array" ref="N13">SUMIFS(operations[[Amount]:[Amount]],operations[[Category]:[Category]],Summary_1[[#This Row],[Category]:[Category]],operations[[Month]:[Month]],Summary_1[[#Headers],[12]])</f>
        <v>2000</v>
      </c>
    </row>
    <row r="14" spans="1:14" x14ac:dyDescent="0.25">
      <c r="A14" t="s">
        <v>30</v>
      </c>
      <c r="B14" t="s">
        <v>32</v>
      </c>
      <c r="C14" s="6" cm="1">
        <f t="array" ref="C14">SUMIFS(operations[[Amount]:[Amount]],operations[[Category]:[Category]],Summary_1[[#This Row],[Category]:[Category]],operations[[Month]:[Month]],Summary_1[[#Headers],[1]])</f>
        <v>800</v>
      </c>
      <c r="D14" s="6" cm="1">
        <f t="array" ref="D14">SUMIFS(operations[[Amount]:[Amount]],operations[[Category]:[Category]],Summary_1[[#This Row],[Category]:[Category]],operations[[Month]:[Month]],Summary_1[[#Headers],[2]])</f>
        <v>1950</v>
      </c>
      <c r="E14" s="6" cm="1">
        <f t="array" ref="E14">SUMIFS(operations[[Amount]:[Amount]],operations[[Category]:[Category]],Summary_1[[#This Row],[Category]:[Category]],operations[[Month]:[Month]],Summary_1[[#Headers],[3]])</f>
        <v>0</v>
      </c>
      <c r="F14" s="6" cm="1">
        <f t="array" ref="F14">SUMIFS(operations[[Amount]:[Amount]],operations[[Category]:[Category]],Summary_1[[#This Row],[Category]:[Category]],operations[[Month]:[Month]],Summary_1[[#Headers],[4]])</f>
        <v>0</v>
      </c>
      <c r="G14" s="6" cm="1">
        <f t="array" ref="G14">SUMIFS(operations[[Amount]:[Amount]],operations[[Category]:[Category]],Summary_1[[#This Row],[Category]:[Category]],operations[[Month]:[Month]],Summary_1[[#Headers],[5]])</f>
        <v>0</v>
      </c>
      <c r="H14" s="6" cm="1">
        <f t="array" ref="H14">SUMIFS(operations[[Amount]:[Amount]],operations[[Category]:[Category]],Summary_1[[#This Row],[Category]:[Category]],operations[[Month]:[Month]],Summary_1[[#Headers],[6]])</f>
        <v>0</v>
      </c>
      <c r="I14" s="6" cm="1">
        <f t="array" ref="I14">SUMIFS(operations[[Amount]:[Amount]],operations[[Category]:[Category]],Summary_1[[#This Row],[Category]:[Category]],operations[[Month]:[Month]],Summary_1[[#Headers],[7]])</f>
        <v>0</v>
      </c>
      <c r="J14" s="6" cm="1">
        <f t="array" ref="J14">SUMIFS(operations[[Amount]:[Amount]],operations[[Category]:[Category]],Summary_1[[#This Row],[Category]:[Category]],operations[[Month]:[Month]],Summary_1[[#Headers],[8]])</f>
        <v>0</v>
      </c>
      <c r="K14" s="6" cm="1">
        <f t="array" ref="K14">SUMIFS(operations[[Amount]:[Amount]],operations[[Category]:[Category]],Summary_1[[#This Row],[Category]:[Category]],operations[[Month]:[Month]],Summary_1[[#Headers],[9]])</f>
        <v>0</v>
      </c>
      <c r="L14" s="6" cm="1">
        <f t="array" ref="L14">SUMIFS(operations[[Amount]:[Amount]],operations[[Category]:[Category]],Summary_1[[#This Row],[Category]:[Category]],operations[[Month]:[Month]],Summary_1[[#Headers],[10]])</f>
        <v>0</v>
      </c>
      <c r="M14" s="6" cm="1">
        <f t="array" ref="M14">SUMIFS(operations[[Amount]:[Amount]],operations[[Category]:[Category]],Summary_1[[#This Row],[Category]:[Category]],operations[[Month]:[Month]],Summary_1[[#Headers],[11]])</f>
        <v>0</v>
      </c>
      <c r="N14" s="6" cm="1">
        <f t="array" ref="N14">SUMIFS(operations[[Amount]:[Amount]],operations[[Category]:[Category]],Summary_1[[#This Row],[Category]:[Category]],operations[[Month]:[Month]],Summary_1[[#Headers],[12]])</f>
        <v>0</v>
      </c>
    </row>
    <row r="15" spans="1:14" x14ac:dyDescent="0.25">
      <c r="A15" t="s">
        <v>26</v>
      </c>
      <c r="B15" t="s">
        <v>32</v>
      </c>
      <c r="C15" s="6" cm="1">
        <f t="array" ref="C15">SUMIFS(operations[[Amount]:[Amount]],operations[[Category]:[Category]],Summary_1[[#This Row],[Category]:[Category]],operations[[Month]:[Month]],Summary_1[[#Headers],[1]])</f>
        <v>4500</v>
      </c>
      <c r="D15" s="6" cm="1">
        <f t="array" ref="D15">SUMIFS(operations[[Amount]:[Amount]],operations[[Category]:[Category]],Summary_1[[#This Row],[Category]:[Category]],operations[[Month]:[Month]],Summary_1[[#Headers],[2]])</f>
        <v>4500</v>
      </c>
      <c r="E15" s="6" cm="1">
        <f t="array" ref="E15">SUMIFS(operations[[Amount]:[Amount]],operations[[Category]:[Category]],Summary_1[[#This Row],[Category]:[Category]],operations[[Month]:[Month]],Summary_1[[#Headers],[3]])</f>
        <v>4500</v>
      </c>
      <c r="F15" s="6" cm="1">
        <f t="array" ref="F15">SUMIFS(operations[[Amount]:[Amount]],operations[[Category]:[Category]],Summary_1[[#This Row],[Category]:[Category]],operations[[Month]:[Month]],Summary_1[[#Headers],[4]])</f>
        <v>4500</v>
      </c>
      <c r="G15" s="6" cm="1">
        <f t="array" ref="G15">SUMIFS(operations[[Amount]:[Amount]],operations[[Category]:[Category]],Summary_1[[#This Row],[Category]:[Category]],operations[[Month]:[Month]],Summary_1[[#Headers],[5]])</f>
        <v>4500</v>
      </c>
      <c r="H15" s="6" cm="1">
        <f t="array" ref="H15">SUMIFS(operations[[Amount]:[Amount]],operations[[Category]:[Category]],Summary_1[[#This Row],[Category]:[Category]],operations[[Month]:[Month]],Summary_1[[#Headers],[6]])</f>
        <v>4500</v>
      </c>
      <c r="I15" s="6" cm="1">
        <f t="array" ref="I15">SUMIFS(operations[[Amount]:[Amount]],operations[[Category]:[Category]],Summary_1[[#This Row],[Category]:[Category]],operations[[Month]:[Month]],Summary_1[[#Headers],[7]])</f>
        <v>4500</v>
      </c>
      <c r="J15" s="6" cm="1">
        <f t="array" ref="J15">SUMIFS(operations[[Amount]:[Amount]],operations[[Category]:[Category]],Summary_1[[#This Row],[Category]:[Category]],operations[[Month]:[Month]],Summary_1[[#Headers],[8]])</f>
        <v>4500</v>
      </c>
      <c r="K15" s="6" cm="1">
        <f t="array" ref="K15">SUMIFS(operations[[Amount]:[Amount]],operations[[Category]:[Category]],Summary_1[[#This Row],[Category]:[Category]],operations[[Month]:[Month]],Summary_1[[#Headers],[9]])</f>
        <v>4500</v>
      </c>
      <c r="L15" s="6" cm="1">
        <f t="array" ref="L15">SUMIFS(operations[[Amount]:[Amount]],operations[[Category]:[Category]],Summary_1[[#This Row],[Category]:[Category]],operations[[Month]:[Month]],Summary_1[[#Headers],[10]])</f>
        <v>4500</v>
      </c>
      <c r="M15" s="6" cm="1">
        <f t="array" ref="M15">SUMIFS(operations[[Amount]:[Amount]],operations[[Category]:[Category]],Summary_1[[#This Row],[Category]:[Category]],operations[[Month]:[Month]],Summary_1[[#Headers],[11]])</f>
        <v>4500</v>
      </c>
      <c r="N15" s="6" cm="1">
        <f t="array" ref="N15">SUMIFS(operations[[Amount]:[Amount]],operations[[Category]:[Category]],Summary_1[[#This Row],[Category]:[Category]],operations[[Month]:[Month]],Summary_1[[#Headers],[12]])</f>
        <v>4500</v>
      </c>
    </row>
    <row r="16" spans="1:14" x14ac:dyDescent="0.25">
      <c r="A16" t="s">
        <v>27</v>
      </c>
      <c r="B16" t="s">
        <v>32</v>
      </c>
      <c r="C16" s="6" cm="1">
        <f t="array" ref="C16">SUMIFS(operations[[Amount]:[Amount]],operations[[Category]:[Category]],Summary_1[[#This Row],[Category]:[Category]],operations[[Month]:[Month]],Summary_1[[#Headers],[1]])</f>
        <v>0</v>
      </c>
      <c r="D16" s="6" cm="1">
        <f t="array" ref="D16">SUMIFS(operations[[Amount]:[Amount]],operations[[Category]:[Category]],Summary_1[[#This Row],[Category]:[Category]],operations[[Month]:[Month]],Summary_1[[#Headers],[2]])</f>
        <v>0</v>
      </c>
      <c r="E16" s="6" cm="1">
        <f t="array" ref="E16">SUMIFS(operations[[Amount]:[Amount]],operations[[Category]:[Category]],Summary_1[[#This Row],[Category]:[Category]],operations[[Month]:[Month]],Summary_1[[#Headers],[3]])</f>
        <v>0</v>
      </c>
      <c r="F16" s="6" cm="1">
        <f t="array" ref="F16">SUMIFS(operations[[Amount]:[Amount]],operations[[Category]:[Category]],Summary_1[[#This Row],[Category]:[Category]],operations[[Month]:[Month]],Summary_1[[#Headers],[4]])</f>
        <v>0</v>
      </c>
      <c r="G16" s="6" cm="1">
        <f t="array" ref="G16">SUMIFS(operations[[Amount]:[Amount]],operations[[Category]:[Category]],Summary_1[[#This Row],[Category]:[Category]],operations[[Month]:[Month]],Summary_1[[#Headers],[5]])</f>
        <v>0</v>
      </c>
      <c r="H16" s="6" cm="1">
        <f t="array" ref="H16">SUMIFS(operations[[Amount]:[Amount]],operations[[Category]:[Category]],Summary_1[[#This Row],[Category]:[Category]],operations[[Month]:[Month]],Summary_1[[#Headers],[6]])</f>
        <v>0</v>
      </c>
      <c r="I16" s="6" cm="1">
        <f t="array" ref="I16">SUMIFS(operations[[Amount]:[Amount]],operations[[Category]:[Category]],Summary_1[[#This Row],[Category]:[Category]],operations[[Month]:[Month]],Summary_1[[#Headers],[7]])</f>
        <v>500</v>
      </c>
      <c r="J16" s="6" cm="1">
        <f t="array" ref="J16">SUMIFS(operations[[Amount]:[Amount]],operations[[Category]:[Category]],Summary_1[[#This Row],[Category]:[Category]],operations[[Month]:[Month]],Summary_1[[#Headers],[8]])</f>
        <v>500</v>
      </c>
      <c r="K16" s="6" cm="1">
        <f t="array" ref="K16">SUMIFS(operations[[Amount]:[Amount]],operations[[Category]:[Category]],Summary_1[[#This Row],[Category]:[Category]],operations[[Month]:[Month]],Summary_1[[#Headers],[9]])</f>
        <v>0</v>
      </c>
      <c r="L16" s="6" cm="1">
        <f t="array" ref="L16">SUMIFS(operations[[Amount]:[Amount]],operations[[Category]:[Category]],Summary_1[[#This Row],[Category]:[Category]],operations[[Month]:[Month]],Summary_1[[#Headers],[10]])</f>
        <v>0</v>
      </c>
      <c r="M16" s="6" cm="1">
        <f t="array" ref="M16">SUMIFS(operations[[Amount]:[Amount]],operations[[Category]:[Category]],Summary_1[[#This Row],[Category]:[Category]],operations[[Month]:[Month]],Summary_1[[#Headers],[11]])</f>
        <v>0</v>
      </c>
      <c r="N16" s="6" cm="1">
        <f t="array" ref="N16">SUMIFS(operations[[Amount]:[Amount]],operations[[Category]:[Category]],Summary_1[[#This Row],[Category]:[Category]],operations[[Month]:[Month]],Summary_1[[#Headers],[12]])</f>
        <v>0</v>
      </c>
    </row>
    <row r="17" spans="1:14" x14ac:dyDescent="0.25">
      <c r="A17" t="s">
        <v>31</v>
      </c>
      <c r="B17" t="s">
        <v>31</v>
      </c>
      <c r="C17" s="6" cm="1">
        <f t="array" ref="C17">SUMIFS(operations[[Amount]:[Amount]],operations[[Category]:[Category]],Summary_1[[#This Row],[Category]:[Category]],operations[[Month]:[Month]],Summary_1[[#Headers],[1]])</f>
        <v>0</v>
      </c>
      <c r="D17" s="6" cm="1">
        <f t="array" ref="D17">SUMIFS(operations[[Amount]:[Amount]],operations[[Category]:[Category]],Summary_1[[#This Row],[Category]:[Category]],operations[[Month]:[Month]],Summary_1[[#Headers],[2]])</f>
        <v>0</v>
      </c>
      <c r="E17" s="6" cm="1">
        <f t="array" ref="E17">SUMIFS(operations[[Amount]:[Amount]],operations[[Category]:[Category]],Summary_1[[#This Row],[Category]:[Category]],operations[[Month]:[Month]],Summary_1[[#Headers],[3]])</f>
        <v>0</v>
      </c>
      <c r="F17" s="6" cm="1">
        <f t="array" ref="F17">SUMIFS(operations[[Amount]:[Amount]],operations[[Category]:[Category]],Summary_1[[#This Row],[Category]:[Category]],operations[[Month]:[Month]],Summary_1[[#Headers],[4]])</f>
        <v>0</v>
      </c>
      <c r="G17" s="6" cm="1">
        <f t="array" ref="G17">SUMIFS(operations[[Amount]:[Amount]],operations[[Category]:[Category]],Summary_1[[#This Row],[Category]:[Category]],operations[[Month]:[Month]],Summary_1[[#Headers],[5]])</f>
        <v>0</v>
      </c>
      <c r="H17" s="6" cm="1">
        <f t="array" ref="H17">SUMIFS(operations[[Amount]:[Amount]],operations[[Category]:[Category]],Summary_1[[#This Row],[Category]:[Category]],operations[[Month]:[Month]],Summary_1[[#Headers],[6]])</f>
        <v>0</v>
      </c>
      <c r="I17" s="6" cm="1">
        <f t="array" ref="I17">SUMIFS(operations[[Amount]:[Amount]],operations[[Category]:[Category]],Summary_1[[#This Row],[Category]:[Category]],operations[[Month]:[Month]],Summary_1[[#Headers],[7]])</f>
        <v>0</v>
      </c>
      <c r="J17" s="6" cm="1">
        <f t="array" ref="J17">SUMIFS(operations[[Amount]:[Amount]],operations[[Category]:[Category]],Summary_1[[#This Row],[Category]:[Category]],operations[[Month]:[Month]],Summary_1[[#Headers],[8]])</f>
        <v>0</v>
      </c>
      <c r="K17" s="6" cm="1">
        <f t="array" ref="K17">SUMIFS(operations[[Amount]:[Amount]],operations[[Category]:[Category]],Summary_1[[#This Row],[Category]:[Category]],operations[[Month]:[Month]],Summary_1[[#Headers],[9]])</f>
        <v>0</v>
      </c>
      <c r="L17" s="6" cm="1">
        <f t="array" ref="L17">SUMIFS(operations[[Amount]:[Amount]],operations[[Category]:[Category]],Summary_1[[#This Row],[Category]:[Category]],operations[[Month]:[Month]],Summary_1[[#Headers],[10]])</f>
        <v>0</v>
      </c>
      <c r="M17" s="6" cm="1">
        <f t="array" ref="M17">SUMIFS(operations[[Amount]:[Amount]],operations[[Category]:[Category]],Summary_1[[#This Row],[Category]:[Category]],operations[[Month]:[Month]],Summary_1[[#Headers],[11]])</f>
        <v>0</v>
      </c>
      <c r="N17" s="6" cm="1">
        <f t="array" ref="N17">SUMIFS(operations[[Amount]:[Amount]],operations[[Category]:[Category]],Summary_1[[#This Row],[Category]:[Category]],operations[[Month]:[Month]],Summary_1[[#Headers],[12]])</f>
        <v>0</v>
      </c>
    </row>
    <row r="18" spans="1:14" x14ac:dyDescent="0.25">
      <c r="A18" t="s">
        <v>37</v>
      </c>
      <c r="C18" s="6">
        <f>SUBTOTAL(109,Summary_1[1])</f>
        <v>845.5</v>
      </c>
      <c r="D18" s="6">
        <f>SUBTOTAL(109,Summary_1[2])</f>
        <v>2464.5</v>
      </c>
      <c r="E18" s="6">
        <f>SUBTOTAL(109,Summary_1[3])</f>
        <v>755.60999999999967</v>
      </c>
      <c r="F18" s="6">
        <f>SUBTOTAL(109,Summary_1[4])</f>
        <v>726.84000000000015</v>
      </c>
      <c r="G18" s="6">
        <f>SUBTOTAL(109,Summary_1[5])</f>
        <v>1290</v>
      </c>
      <c r="H18" s="6">
        <f>SUBTOTAL(109,Summary_1[6])</f>
        <v>1170</v>
      </c>
      <c r="I18" s="6">
        <f>SUBTOTAL(109,Summary_1[7])</f>
        <v>2915</v>
      </c>
      <c r="J18" s="6">
        <f>SUBTOTAL(109,Summary_1[8])</f>
        <v>1410.5</v>
      </c>
      <c r="K18" s="6">
        <f>SUBTOTAL(109,Summary_1[9])</f>
        <v>1751.5</v>
      </c>
      <c r="L18" s="6">
        <f>SUBTOTAL(109,Summary_1[10])</f>
        <v>1670</v>
      </c>
      <c r="M18" s="6">
        <f>SUBTOTAL(109,Summary_1[11])</f>
        <v>1400</v>
      </c>
      <c r="N18" s="6">
        <f>SUBTOTAL(109,Summary_1[12])</f>
        <v>2420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11EBA-D23E-4007-A4A1-2F09EDCDF5C9}">
  <sheetPr codeName="Sheet3"/>
  <dimension ref="A1:N21"/>
  <sheetViews>
    <sheetView workbookViewId="0">
      <selection activeCell="Q18" sqref="Q18"/>
    </sheetView>
  </sheetViews>
  <sheetFormatPr defaultRowHeight="15" outlineLevelRow="2" x14ac:dyDescent="0.25"/>
  <cols>
    <col min="1" max="1" width="13.7109375" bestFit="1" customWidth="1"/>
    <col min="2" max="2" width="12.5703125" bestFit="1" customWidth="1"/>
    <col min="3" max="3" width="7" bestFit="1" customWidth="1"/>
    <col min="4" max="4" width="7.7109375" bestFit="1" customWidth="1"/>
    <col min="5" max="6" width="8.7109375" bestFit="1" customWidth="1"/>
    <col min="7" max="9" width="5.7109375" bestFit="1" customWidth="1"/>
    <col min="10" max="11" width="7.7109375" bestFit="1" customWidth="1"/>
    <col min="12" max="14" width="5.7109375" bestFit="1" customWidth="1"/>
  </cols>
  <sheetData>
    <row r="1" spans="1:14" x14ac:dyDescent="0.25">
      <c r="A1" t="s">
        <v>3</v>
      </c>
      <c r="B1" t="s">
        <v>4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</row>
    <row r="2" spans="1:14" outlineLevel="2" x14ac:dyDescent="0.25">
      <c r="A2" t="s">
        <v>18</v>
      </c>
      <c r="B2" t="s">
        <v>38</v>
      </c>
      <c r="C2">
        <f>SUMIFS(operations[[Amount]:[Amount]],operations[[Category]:[Category]],$A2,operations[[Month]:[Month]],C$1)</f>
        <v>-2000</v>
      </c>
      <c r="D2">
        <f>SUMIFS(operations[[Amount]:[Amount]],operations[[Category]:[Category]],$A2,operations[[Month]:[Month]],D$1)</f>
        <v>-2000</v>
      </c>
      <c r="E2">
        <f>SUMIFS(operations[[Amount]:[Amount]],operations[[Category]:[Category]],$A2,operations[[Month]:[Month]],E$1)</f>
        <v>-2000</v>
      </c>
      <c r="F2">
        <f>SUMIFS(operations[[Amount]:[Amount]],operations[[Category]:[Category]],$A2,operations[[Month]:[Month]],F$1)</f>
        <v>-2000</v>
      </c>
      <c r="G2">
        <f>SUMIFS(operations[[Amount]:[Amount]],operations[[Category]:[Category]],$A2,operations[[Month]:[Month]],G$1)</f>
        <v>-2000</v>
      </c>
      <c r="H2">
        <f>SUMIFS(operations[[Amount]:[Amount]],operations[[Category]:[Category]],$A2,operations[[Month]:[Month]],H$1)</f>
        <v>-2000</v>
      </c>
      <c r="I2">
        <f>SUMIFS(operations[[Amount]:[Amount]],operations[[Category]:[Category]],$A2,operations[[Month]:[Month]],I$1)</f>
        <v>-2000</v>
      </c>
      <c r="J2">
        <f>SUMIFS(operations[[Amount]:[Amount]],operations[[Category]:[Category]],$A2,operations[[Month]:[Month]],J$1)</f>
        <v>-2000</v>
      </c>
      <c r="K2">
        <f>SUMIFS(operations[[Amount]:[Amount]],operations[[Category]:[Category]],$A2,operations[[Month]:[Month]],K$1)</f>
        <v>-2000</v>
      </c>
      <c r="L2">
        <f>SUMIFS(operations[[Amount]:[Amount]],operations[[Category]:[Category]],$A2,operations[[Month]:[Month]],L$1)</f>
        <v>-2000</v>
      </c>
      <c r="M2">
        <f>SUMIFS(operations[[Amount]:[Amount]],operations[[Category]:[Category]],$A2,operations[[Month]:[Month]],M$1)</f>
        <v>-2000</v>
      </c>
      <c r="N2">
        <f>SUMIFS(operations[[Amount]:[Amount]],operations[[Category]:[Category]],$A2,operations[[Month]:[Month]],N$1)</f>
        <v>-2000</v>
      </c>
    </row>
    <row r="3" spans="1:14" outlineLevel="2" x14ac:dyDescent="0.25">
      <c r="A3" t="s">
        <v>22</v>
      </c>
      <c r="B3" t="s">
        <v>38</v>
      </c>
      <c r="C3">
        <f>SUMIFS(operations[[Amount]:[Amount]],operations[[Category]:[Category]],$A3,operations[[Month]:[Month]],C$1)</f>
        <v>-80</v>
      </c>
      <c r="D3">
        <f>SUMIFS(operations[[Amount]:[Amount]],operations[[Category]:[Category]],$A3,operations[[Month]:[Month]],D$1)</f>
        <v>0</v>
      </c>
      <c r="E3">
        <f>SUMIFS(operations[[Amount]:[Amount]],operations[[Category]:[Category]],$A3,operations[[Month]:[Month]],E$1)</f>
        <v>-469.9</v>
      </c>
      <c r="F3">
        <f>SUMIFS(operations[[Amount]:[Amount]],operations[[Category]:[Category]],$A3,operations[[Month]:[Month]],F$1)</f>
        <v>-149</v>
      </c>
      <c r="G3">
        <f>SUMIFS(operations[[Amount]:[Amount]],operations[[Category]:[Category]],$A3,operations[[Month]:[Month]],G$1)</f>
        <v>0</v>
      </c>
      <c r="H3">
        <f>SUMIFS(operations[[Amount]:[Amount]],operations[[Category]:[Category]],$A3,operations[[Month]:[Month]],H$1)</f>
        <v>-300</v>
      </c>
      <c r="I3">
        <f>SUMIFS(operations[[Amount]:[Amount]],operations[[Category]:[Category]],$A3,operations[[Month]:[Month]],I$1)</f>
        <v>250</v>
      </c>
      <c r="J3">
        <f>SUMIFS(operations[[Amount]:[Amount]],operations[[Category]:[Category]],$A3,operations[[Month]:[Month]],J$1)</f>
        <v>-300</v>
      </c>
      <c r="K3">
        <f>SUMIFS(operations[[Amount]:[Amount]],operations[[Category]:[Category]],$A3,operations[[Month]:[Month]],K$1)</f>
        <v>0</v>
      </c>
      <c r="L3">
        <f>SUMIFS(operations[[Amount]:[Amount]],operations[[Category]:[Category]],$A3,operations[[Month]:[Month]],L$1)</f>
        <v>0</v>
      </c>
      <c r="M3">
        <f>SUMIFS(operations[[Amount]:[Amount]],operations[[Category]:[Category]],$A3,operations[[Month]:[Month]],M$1)</f>
        <v>-158</v>
      </c>
      <c r="N3">
        <f>SUMIFS(operations[[Amount]:[Amount]],operations[[Category]:[Category]],$A3,operations[[Month]:[Month]],N$1)</f>
        <v>-120</v>
      </c>
    </row>
    <row r="4" spans="1:14" outlineLevel="2" x14ac:dyDescent="0.25">
      <c r="A4" t="s">
        <v>20</v>
      </c>
      <c r="B4" t="s">
        <v>38</v>
      </c>
      <c r="C4">
        <f>SUMIFS(operations[[Amount]:[Amount]],operations[[Category]:[Category]],$A4,operations[[Month]:[Month]],C$1)</f>
        <v>-85</v>
      </c>
      <c r="D4">
        <f>SUMIFS(operations[[Amount]:[Amount]],operations[[Category]:[Category]],$A4,operations[[Month]:[Month]],D$1)</f>
        <v>-350</v>
      </c>
      <c r="E4">
        <f>SUMIFS(operations[[Amount]:[Amount]],operations[[Category]:[Category]],$A4,operations[[Month]:[Month]],E$1)</f>
        <v>-200</v>
      </c>
      <c r="F4">
        <f>SUMIFS(operations[[Amount]:[Amount]],operations[[Category]:[Category]],$A4,operations[[Month]:[Month]],F$1)</f>
        <v>-1057.9000000000001</v>
      </c>
      <c r="G4">
        <f>SUMIFS(operations[[Amount]:[Amount]],operations[[Category]:[Category]],$A4,operations[[Month]:[Month]],G$1)</f>
        <v>-80</v>
      </c>
      <c r="H4">
        <f>SUMIFS(operations[[Amount]:[Amount]],operations[[Category]:[Category]],$A4,operations[[Month]:[Month]],H$1)</f>
        <v>-200</v>
      </c>
      <c r="I4">
        <f>SUMIFS(operations[[Amount]:[Amount]],operations[[Category]:[Category]],$A4,operations[[Month]:[Month]],I$1)</f>
        <v>-700</v>
      </c>
      <c r="J4">
        <f>SUMIFS(operations[[Amount]:[Amount]],operations[[Category]:[Category]],$A4,operations[[Month]:[Month]],J$1)</f>
        <v>-250</v>
      </c>
      <c r="K4">
        <f>SUMIFS(operations[[Amount]:[Amount]],operations[[Category]:[Category]],$A4,operations[[Month]:[Month]],K$1)</f>
        <v>-20</v>
      </c>
      <c r="L4">
        <f>SUMIFS(operations[[Amount]:[Amount]],operations[[Category]:[Category]],$A4,operations[[Month]:[Month]],L$1)</f>
        <v>-40</v>
      </c>
      <c r="M4">
        <f>SUMIFS(operations[[Amount]:[Amount]],operations[[Category]:[Category]],$A4,operations[[Month]:[Month]],M$1)</f>
        <v>-214</v>
      </c>
      <c r="N4">
        <f>SUMIFS(operations[[Amount]:[Amount]],operations[[Category]:[Category]],$A4,operations[[Month]:[Month]],N$1)</f>
        <v>-450</v>
      </c>
    </row>
    <row r="5" spans="1:14" outlineLevel="2" x14ac:dyDescent="0.25">
      <c r="A5" t="s">
        <v>17</v>
      </c>
      <c r="B5" t="s">
        <v>38</v>
      </c>
      <c r="C5">
        <f>SUMIFS(operations[[Amount]:[Amount]],operations[[Category]:[Category]],$A5,operations[[Month]:[Month]],C$1)</f>
        <v>-1715</v>
      </c>
      <c r="D5">
        <f>SUMIFS(operations[[Amount]:[Amount]],operations[[Category]:[Category]],$A5,operations[[Month]:[Month]],D$1)</f>
        <v>-405.5</v>
      </c>
      <c r="E5">
        <f>SUMIFS(operations[[Amount]:[Amount]],operations[[Category]:[Category]],$A5,operations[[Month]:[Month]],E$1)</f>
        <v>-734.99</v>
      </c>
      <c r="F5">
        <f>SUMIFS(operations[[Amount]:[Amount]],operations[[Category]:[Category]],$A5,operations[[Month]:[Month]],F$1)</f>
        <v>-372.26</v>
      </c>
      <c r="G5">
        <f>SUMIFS(operations[[Amount]:[Amount]],operations[[Category]:[Category]],$A5,operations[[Month]:[Month]],G$1)</f>
        <v>-1000</v>
      </c>
      <c r="H5">
        <f>SUMIFS(operations[[Amount]:[Amount]],operations[[Category]:[Category]],$A5,operations[[Month]:[Month]],H$1)</f>
        <v>-1000</v>
      </c>
      <c r="I5">
        <f>SUMIFS(operations[[Amount]:[Amount]],operations[[Category]:[Category]],$A5,operations[[Month]:[Month]],I$1)</f>
        <v>-165</v>
      </c>
      <c r="J5">
        <f>SUMIFS(operations[[Amount]:[Amount]],operations[[Category]:[Category]],$A5,operations[[Month]:[Month]],J$1)</f>
        <v>-749.5</v>
      </c>
      <c r="K5">
        <f>SUMIFS(operations[[Amount]:[Amount]],operations[[Category]:[Category]],$A5,operations[[Month]:[Month]],K$1)</f>
        <v>-538.5</v>
      </c>
      <c r="L5">
        <f>SUMIFS(operations[[Amount]:[Amount]],operations[[Category]:[Category]],$A5,operations[[Month]:[Month]],L$1)</f>
        <v>-600</v>
      </c>
      <c r="M5">
        <f>SUMIFS(operations[[Amount]:[Amount]],operations[[Category]:[Category]],$A5,operations[[Month]:[Month]],M$1)</f>
        <v>-506</v>
      </c>
      <c r="N5">
        <f>SUMIFS(operations[[Amount]:[Amount]],operations[[Category]:[Category]],$A5,operations[[Month]:[Month]],N$1)</f>
        <v>-700</v>
      </c>
    </row>
    <row r="6" spans="1:14" outlineLevel="2" x14ac:dyDescent="0.25">
      <c r="A6" t="s">
        <v>21</v>
      </c>
      <c r="B6" t="s">
        <v>38</v>
      </c>
      <c r="C6">
        <f>SUMIFS(operations[[Amount]:[Amount]],operations[[Category]:[Category]],$A6,operations[[Month]:[Month]],C$1)</f>
        <v>-100</v>
      </c>
      <c r="D6">
        <f>SUMIFS(operations[[Amount]:[Amount]],operations[[Category]:[Category]],$A6,operations[[Month]:[Month]],D$1)</f>
        <v>-250</v>
      </c>
      <c r="E6">
        <f>SUMIFS(operations[[Amount]:[Amount]],operations[[Category]:[Category]],$A6,operations[[Month]:[Month]],E$1)</f>
        <v>-9.5</v>
      </c>
      <c r="F6">
        <f>SUMIFS(operations[[Amount]:[Amount]],operations[[Category]:[Category]],$A6,operations[[Month]:[Month]],F$1)</f>
        <v>-23.5</v>
      </c>
      <c r="G6">
        <f>SUMIFS(operations[[Amount]:[Amount]],operations[[Category]:[Category]],$A6,operations[[Month]:[Month]],G$1)</f>
        <v>0</v>
      </c>
      <c r="H6">
        <f>SUMIFS(operations[[Amount]:[Amount]],operations[[Category]:[Category]],$A6,operations[[Month]:[Month]],H$1)</f>
        <v>-100</v>
      </c>
      <c r="I6">
        <f>SUMIFS(operations[[Amount]:[Amount]],operations[[Category]:[Category]],$A6,operations[[Month]:[Month]],I$1)</f>
        <v>-300</v>
      </c>
      <c r="J6">
        <f>SUMIFS(operations[[Amount]:[Amount]],operations[[Category]:[Category]],$A6,operations[[Month]:[Month]],J$1)</f>
        <v>-400</v>
      </c>
      <c r="K6">
        <f>SUMIFS(operations[[Amount]:[Amount]],operations[[Category]:[Category]],$A6,operations[[Month]:[Month]],K$1)</f>
        <v>0</v>
      </c>
      <c r="L6">
        <f>SUMIFS(operations[[Amount]:[Amount]],operations[[Category]:[Category]],$A6,operations[[Month]:[Month]],L$1)</f>
        <v>0</v>
      </c>
      <c r="M6">
        <f>SUMIFS(operations[[Amount]:[Amount]],operations[[Category]:[Category]],$A6,operations[[Month]:[Month]],M$1)</f>
        <v>-133</v>
      </c>
      <c r="N6">
        <f>SUMIFS(operations[[Amount]:[Amount]],operations[[Category]:[Category]],$A6,operations[[Month]:[Month]],N$1)</f>
        <v>-10</v>
      </c>
    </row>
    <row r="7" spans="1:14" outlineLevel="2" x14ac:dyDescent="0.25">
      <c r="A7" t="s">
        <v>19</v>
      </c>
      <c r="B7" t="s">
        <v>38</v>
      </c>
      <c r="C7">
        <f>SUMIFS(operations[[Amount]:[Amount]],operations[[Category]:[Category]],$A7,operations[[Month]:[Month]],C$1)</f>
        <v>-150</v>
      </c>
      <c r="D7">
        <f>SUMIFS(operations[[Amount]:[Amount]],operations[[Category]:[Category]],$A7,operations[[Month]:[Month]],D$1)</f>
        <v>-150</v>
      </c>
      <c r="E7">
        <f>SUMIFS(operations[[Amount]:[Amount]],operations[[Category]:[Category]],$A7,operations[[Month]:[Month]],E$1)</f>
        <v>-23</v>
      </c>
      <c r="F7">
        <f>SUMIFS(operations[[Amount]:[Amount]],operations[[Category]:[Category]],$A7,operations[[Month]:[Month]],F$1)</f>
        <v>-49</v>
      </c>
      <c r="G7">
        <f>SUMIFS(operations[[Amount]:[Amount]],operations[[Category]:[Category]],$A7,operations[[Month]:[Month]],G$1)</f>
        <v>-50</v>
      </c>
      <c r="H7">
        <f>SUMIFS(operations[[Amount]:[Amount]],operations[[Category]:[Category]],$A7,operations[[Month]:[Month]],H$1)</f>
        <v>-50</v>
      </c>
      <c r="I7">
        <f>SUMIFS(operations[[Amount]:[Amount]],operations[[Category]:[Category]],$A7,operations[[Month]:[Month]],I$1)</f>
        <v>0</v>
      </c>
      <c r="J7">
        <f>SUMIFS(operations[[Amount]:[Amount]],operations[[Category]:[Category]],$A7,operations[[Month]:[Month]],J$1)</f>
        <v>0</v>
      </c>
      <c r="K7">
        <f>SUMIFS(operations[[Amount]:[Amount]],operations[[Category]:[Category]],$A7,operations[[Month]:[Month]],K$1)</f>
        <v>-40</v>
      </c>
      <c r="L7">
        <f>SUMIFS(operations[[Amount]:[Amount]],operations[[Category]:[Category]],$A7,operations[[Month]:[Month]],L$1)</f>
        <v>-40</v>
      </c>
      <c r="M7">
        <f>SUMIFS(operations[[Amount]:[Amount]],operations[[Category]:[Category]],$A7,operations[[Month]:[Month]],M$1)</f>
        <v>-47</v>
      </c>
      <c r="N7">
        <f>SUMIFS(operations[[Amount]:[Amount]],operations[[Category]:[Category]],$A7,operations[[Month]:[Month]],N$1)</f>
        <v>0</v>
      </c>
    </row>
    <row r="8" spans="1:14" outlineLevel="2" x14ac:dyDescent="0.25">
      <c r="A8" t="s">
        <v>24</v>
      </c>
      <c r="B8" t="s">
        <v>38</v>
      </c>
      <c r="C8">
        <f>SUMIFS(operations[[Amount]:[Amount]],operations[[Category]:[Category]],$A8,operations[[Month]:[Month]],C$1)</f>
        <v>-500</v>
      </c>
      <c r="D8">
        <f>SUMIFS(operations[[Amount]:[Amount]],operations[[Category]:[Category]],$A8,operations[[Month]:[Month]],D$1)</f>
        <v>-765</v>
      </c>
      <c r="E8">
        <f>SUMIFS(operations[[Amount]:[Amount]],operations[[Category]:[Category]],$A8,operations[[Month]:[Month]],E$1)</f>
        <v>-300</v>
      </c>
      <c r="F8">
        <f>SUMIFS(operations[[Amount]:[Amount]],operations[[Category]:[Category]],$A8,operations[[Month]:[Month]],F$1)</f>
        <v>-100</v>
      </c>
      <c r="G8">
        <f>SUMIFS(operations[[Amount]:[Amount]],operations[[Category]:[Category]],$A8,operations[[Month]:[Month]],G$1)</f>
        <v>0</v>
      </c>
      <c r="H8">
        <f>SUMIFS(operations[[Amount]:[Amount]],operations[[Category]:[Category]],$A8,operations[[Month]:[Month]],H$1)</f>
        <v>0</v>
      </c>
      <c r="I8">
        <f>SUMIFS(operations[[Amount]:[Amount]],operations[[Category]:[Category]],$A8,operations[[Month]:[Month]],I$1)</f>
        <v>0</v>
      </c>
      <c r="J8">
        <f>SUMIFS(operations[[Amount]:[Amount]],operations[[Category]:[Category]],$A8,operations[[Month]:[Month]],J$1)</f>
        <v>0</v>
      </c>
      <c r="K8">
        <f>SUMIFS(operations[[Amount]:[Amount]],operations[[Category]:[Category]],$A8,operations[[Month]:[Month]],K$1)</f>
        <v>0</v>
      </c>
      <c r="L8">
        <f>SUMIFS(operations[[Amount]:[Amount]],operations[[Category]:[Category]],$A8,operations[[Month]:[Month]],L$1)</f>
        <v>0</v>
      </c>
      <c r="M8">
        <f>SUMIFS(operations[[Amount]:[Amount]],operations[[Category]:[Category]],$A8,operations[[Month]:[Month]],M$1)</f>
        <v>-234</v>
      </c>
      <c r="N8">
        <f>SUMIFS(operations[[Amount]:[Amount]],operations[[Category]:[Category]],$A8,operations[[Month]:[Month]],N$1)</f>
        <v>-700</v>
      </c>
    </row>
    <row r="9" spans="1:14" outlineLevel="2" x14ac:dyDescent="0.25">
      <c r="A9" t="s">
        <v>23</v>
      </c>
      <c r="B9" t="s">
        <v>38</v>
      </c>
      <c r="C9">
        <f>SUMIFS(operations[[Amount]:[Amount]],operations[[Category]:[Category]],$A9,operations[[Month]:[Month]],C$1)</f>
        <v>-100</v>
      </c>
      <c r="D9">
        <f>SUMIFS(operations[[Amount]:[Amount]],operations[[Category]:[Category]],$A9,operations[[Month]:[Month]],D$1)</f>
        <v>-100</v>
      </c>
      <c r="E9">
        <f>SUMIFS(operations[[Amount]:[Amount]],operations[[Category]:[Category]],$A9,operations[[Month]:[Month]],E$1)</f>
        <v>-79.5</v>
      </c>
      <c r="F9">
        <f>SUMIFS(operations[[Amount]:[Amount]],operations[[Category]:[Category]],$A9,operations[[Month]:[Month]],F$1)</f>
        <v>-139</v>
      </c>
      <c r="G9">
        <f>SUMIFS(operations[[Amount]:[Amount]],operations[[Category]:[Category]],$A9,operations[[Month]:[Month]],G$1)</f>
        <v>0</v>
      </c>
      <c r="H9">
        <f>SUMIFS(operations[[Amount]:[Amount]],operations[[Category]:[Category]],$A9,operations[[Month]:[Month]],H$1)</f>
        <v>0</v>
      </c>
      <c r="I9">
        <f>SUMIFS(operations[[Amount]:[Amount]],operations[[Category]:[Category]],$A9,operations[[Month]:[Month]],I$1)</f>
        <v>0</v>
      </c>
      <c r="J9">
        <f>SUMIFS(operations[[Amount]:[Amount]],operations[[Category]:[Category]],$A9,operations[[Month]:[Month]],J$1)</f>
        <v>0</v>
      </c>
      <c r="K9">
        <f>SUMIFS(operations[[Amount]:[Amount]],operations[[Category]:[Category]],$A9,operations[[Month]:[Month]],K$1)</f>
        <v>0</v>
      </c>
      <c r="L9">
        <f>SUMIFS(operations[[Amount]:[Amount]],operations[[Category]:[Category]],$A9,operations[[Month]:[Month]],L$1)</f>
        <v>0</v>
      </c>
      <c r="M9">
        <f>SUMIFS(operations[[Amount]:[Amount]],operations[[Category]:[Category]],$A9,operations[[Month]:[Month]],M$1)</f>
        <v>0</v>
      </c>
      <c r="N9">
        <f>SUMIFS(operations[[Amount]:[Amount]],operations[[Category]:[Category]],$A9,operations[[Month]:[Month]],N$1)</f>
        <v>-100</v>
      </c>
    </row>
    <row r="10" spans="1:14" outlineLevel="2" x14ac:dyDescent="0.25">
      <c r="A10" t="s">
        <v>16</v>
      </c>
      <c r="B10" t="s">
        <v>38</v>
      </c>
      <c r="C10">
        <f>SUMIFS(operations[[Amount]:[Amount]],operations[[Category]:[Category]],$A10,operations[[Month]:[Month]],C$1)</f>
        <v>-80</v>
      </c>
      <c r="D10">
        <f>SUMIFS(operations[[Amount]:[Amount]],operations[[Category]:[Category]],$A10,operations[[Month]:[Month]],D$1)</f>
        <v>-80</v>
      </c>
      <c r="E10">
        <f>SUMIFS(operations[[Amount]:[Amount]],operations[[Category]:[Category]],$A10,operations[[Month]:[Month]],E$1)</f>
        <v>-82.5</v>
      </c>
      <c r="F10">
        <f>SUMIFS(operations[[Amount]:[Amount]],operations[[Category]:[Category]],$A10,operations[[Month]:[Month]],F$1)</f>
        <v>-82.5</v>
      </c>
      <c r="G10">
        <f>SUMIFS(operations[[Amount]:[Amount]],operations[[Category]:[Category]],$A10,operations[[Month]:[Month]],G$1)</f>
        <v>-80</v>
      </c>
      <c r="H10">
        <f>SUMIFS(operations[[Amount]:[Amount]],operations[[Category]:[Category]],$A10,operations[[Month]:[Month]],H$1)</f>
        <v>-80</v>
      </c>
      <c r="I10">
        <f>SUMIFS(operations[[Amount]:[Amount]],operations[[Category]:[Category]],$A10,operations[[Month]:[Month]],I$1)</f>
        <v>-90</v>
      </c>
      <c r="J10">
        <f>SUMIFS(operations[[Amount]:[Amount]],operations[[Category]:[Category]],$A10,operations[[Month]:[Month]],J$1)</f>
        <v>-290</v>
      </c>
      <c r="K10">
        <f>SUMIFS(operations[[Amount]:[Amount]],operations[[Category]:[Category]],$A10,operations[[Month]:[Month]],K$1)</f>
        <v>-150</v>
      </c>
      <c r="L10">
        <f>SUMIFS(operations[[Amount]:[Amount]],operations[[Category]:[Category]],$A10,operations[[Month]:[Month]],L$1)</f>
        <v>-150</v>
      </c>
      <c r="M10">
        <f>SUMIFS(operations[[Amount]:[Amount]],operations[[Category]:[Category]],$A10,operations[[Month]:[Month]],M$1)</f>
        <v>-208</v>
      </c>
      <c r="N10">
        <f>SUMIFS(operations[[Amount]:[Amount]],operations[[Category]:[Category]],$A10,operations[[Month]:[Month]],N$1)</f>
        <v>0</v>
      </c>
    </row>
    <row r="11" spans="1:14" outlineLevel="1" x14ac:dyDescent="0.25">
      <c r="B11" s="8" t="s">
        <v>51</v>
      </c>
      <c r="C11">
        <f t="shared" ref="C11:N11" si="0">SUBTOTAL(9,C2:C10)</f>
        <v>-4810</v>
      </c>
      <c r="D11">
        <f t="shared" si="0"/>
        <v>-4100.5</v>
      </c>
      <c r="E11">
        <f t="shared" si="0"/>
        <v>-3899.3900000000003</v>
      </c>
      <c r="F11">
        <f t="shared" si="0"/>
        <v>-3973.16</v>
      </c>
      <c r="G11">
        <f t="shared" si="0"/>
        <v>-3210</v>
      </c>
      <c r="H11">
        <f t="shared" si="0"/>
        <v>-3730</v>
      </c>
      <c r="I11">
        <f t="shared" si="0"/>
        <v>-3005</v>
      </c>
      <c r="J11">
        <f t="shared" si="0"/>
        <v>-3989.5</v>
      </c>
      <c r="K11">
        <f t="shared" si="0"/>
        <v>-2748.5</v>
      </c>
      <c r="L11">
        <f t="shared" si="0"/>
        <v>-2830</v>
      </c>
      <c r="M11">
        <f t="shared" si="0"/>
        <v>-3500</v>
      </c>
      <c r="N11">
        <f t="shared" si="0"/>
        <v>-4080</v>
      </c>
    </row>
    <row r="12" spans="1:14" outlineLevel="2" x14ac:dyDescent="0.25">
      <c r="A12" t="s">
        <v>25</v>
      </c>
      <c r="B12" t="s">
        <v>32</v>
      </c>
      <c r="C12">
        <f>SUMIFS(operations[[Amount]:[Amount]],operations[[Category]:[Category]],$A12,operations[[Month]:[Month]],C$1)</f>
        <v>250</v>
      </c>
      <c r="D12">
        <f>SUMIFS(operations[[Amount]:[Amount]],operations[[Category]:[Category]],$A12,operations[[Month]:[Month]],D$1)</f>
        <v>0</v>
      </c>
      <c r="E12">
        <f>SUMIFS(operations[[Amount]:[Amount]],operations[[Category]:[Category]],$A12,operations[[Month]:[Month]],E$1)</f>
        <v>0</v>
      </c>
      <c r="F12">
        <f>SUMIFS(operations[[Amount]:[Amount]],operations[[Category]:[Category]],$A12,operations[[Month]:[Month]],F$1)</f>
        <v>0</v>
      </c>
      <c r="G12">
        <f>SUMIFS(operations[[Amount]:[Amount]],operations[[Category]:[Category]],$A12,operations[[Month]:[Month]],G$1)</f>
        <v>0</v>
      </c>
      <c r="H12">
        <f>SUMIFS(operations[[Amount]:[Amount]],operations[[Category]:[Category]],$A12,operations[[Month]:[Month]],H$1)</f>
        <v>400</v>
      </c>
      <c r="I12">
        <f>SUMIFS(operations[[Amount]:[Amount]],operations[[Category]:[Category]],$A12,operations[[Month]:[Month]],I$1)</f>
        <v>0</v>
      </c>
      <c r="J12">
        <f>SUMIFS(operations[[Amount]:[Amount]],operations[[Category]:[Category]],$A12,operations[[Month]:[Month]],J$1)</f>
        <v>0</v>
      </c>
      <c r="K12">
        <f>SUMIFS(operations[[Amount]:[Amount]],operations[[Category]:[Category]],$A12,operations[[Month]:[Month]],K$1)</f>
        <v>0</v>
      </c>
      <c r="L12">
        <f>SUMIFS(operations[[Amount]:[Amount]],operations[[Category]:[Category]],$A12,operations[[Month]:[Month]],L$1)</f>
        <v>0</v>
      </c>
      <c r="M12">
        <f>SUMIFS(operations[[Amount]:[Amount]],operations[[Category]:[Category]],$A12,operations[[Month]:[Month]],M$1)</f>
        <v>0</v>
      </c>
      <c r="N12">
        <f>SUMIFS(operations[[Amount]:[Amount]],operations[[Category]:[Category]],$A12,operations[[Month]:[Month]],N$1)</f>
        <v>0</v>
      </c>
    </row>
    <row r="13" spans="1:14" outlineLevel="2" x14ac:dyDescent="0.25">
      <c r="A13" t="s">
        <v>28</v>
      </c>
      <c r="B13" t="s">
        <v>32</v>
      </c>
      <c r="C13">
        <f>SUMIFS(operations[[Amount]:[Amount]],operations[[Category]:[Category]],$A13,operations[[Month]:[Month]],C$1)</f>
        <v>105.5</v>
      </c>
      <c r="D13">
        <f>SUMIFS(operations[[Amount]:[Amount]],operations[[Category]:[Category]],$A13,operations[[Month]:[Month]],D$1)</f>
        <v>115</v>
      </c>
      <c r="E13">
        <f>SUMIFS(operations[[Amount]:[Amount]],operations[[Category]:[Category]],$A13,operations[[Month]:[Month]],E$1)</f>
        <v>150</v>
      </c>
      <c r="F13">
        <f>SUMIFS(operations[[Amount]:[Amount]],operations[[Category]:[Category]],$A13,operations[[Month]:[Month]],F$1)</f>
        <v>150</v>
      </c>
      <c r="G13">
        <f>SUMIFS(operations[[Amount]:[Amount]],operations[[Category]:[Category]],$A13,operations[[Month]:[Month]],G$1)</f>
        <v>0</v>
      </c>
      <c r="H13">
        <f>SUMIFS(operations[[Amount]:[Amount]],operations[[Category]:[Category]],$A13,operations[[Month]:[Month]],H$1)</f>
        <v>0</v>
      </c>
      <c r="I13">
        <f>SUMIFS(operations[[Amount]:[Amount]],operations[[Category]:[Category]],$A13,operations[[Month]:[Month]],I$1)</f>
        <v>120</v>
      </c>
      <c r="J13">
        <f>SUMIFS(operations[[Amount]:[Amount]],operations[[Category]:[Category]],$A13,operations[[Month]:[Month]],J$1)</f>
        <v>0</v>
      </c>
      <c r="K13">
        <f>SUMIFS(operations[[Amount]:[Amount]],operations[[Category]:[Category]],$A13,operations[[Month]:[Month]],K$1)</f>
        <v>0</v>
      </c>
      <c r="L13">
        <f>SUMIFS(operations[[Amount]:[Amount]],operations[[Category]:[Category]],$A13,operations[[Month]:[Month]],L$1)</f>
        <v>0</v>
      </c>
      <c r="M13">
        <f>SUMIFS(operations[[Amount]:[Amount]],operations[[Category]:[Category]],$A13,operations[[Month]:[Month]],M$1)</f>
        <v>0</v>
      </c>
      <c r="N13">
        <f>SUMIFS(operations[[Amount]:[Amount]],operations[[Category]:[Category]],$A13,operations[[Month]:[Month]],N$1)</f>
        <v>0</v>
      </c>
    </row>
    <row r="14" spans="1:14" outlineLevel="2" x14ac:dyDescent="0.25">
      <c r="A14" t="s">
        <v>29</v>
      </c>
      <c r="B14" t="s">
        <v>32</v>
      </c>
      <c r="C14">
        <f>SUMIFS(operations[[Amount]:[Amount]],operations[[Category]:[Category]],$A14,operations[[Month]:[Month]],C$1)</f>
        <v>0</v>
      </c>
      <c r="D14">
        <f>SUMIFS(operations[[Amount]:[Amount]],operations[[Category]:[Category]],$A14,operations[[Month]:[Month]],D$1)</f>
        <v>0</v>
      </c>
      <c r="E14">
        <f>SUMIFS(operations[[Amount]:[Amount]],operations[[Category]:[Category]],$A14,operations[[Month]:[Month]],E$1)</f>
        <v>5</v>
      </c>
      <c r="F14">
        <f>SUMIFS(operations[[Amount]:[Amount]],operations[[Category]:[Category]],$A14,operations[[Month]:[Month]],F$1)</f>
        <v>50</v>
      </c>
      <c r="G14">
        <f>SUMIFS(operations[[Amount]:[Amount]],operations[[Category]:[Category]],$A14,operations[[Month]:[Month]],G$1)</f>
        <v>0</v>
      </c>
      <c r="H14">
        <f>SUMIFS(operations[[Amount]:[Amount]],operations[[Category]:[Category]],$A14,operations[[Month]:[Month]],H$1)</f>
        <v>0</v>
      </c>
      <c r="I14">
        <f>SUMIFS(operations[[Amount]:[Amount]],operations[[Category]:[Category]],$A14,operations[[Month]:[Month]],I$1)</f>
        <v>800</v>
      </c>
      <c r="J14">
        <f>SUMIFS(operations[[Amount]:[Amount]],operations[[Category]:[Category]],$A14,operations[[Month]:[Month]],J$1)</f>
        <v>400</v>
      </c>
      <c r="K14">
        <f>SUMIFS(operations[[Amount]:[Amount]],operations[[Category]:[Category]],$A14,operations[[Month]:[Month]],K$1)</f>
        <v>0</v>
      </c>
      <c r="L14">
        <f>SUMIFS(operations[[Amount]:[Amount]],operations[[Category]:[Category]],$A14,operations[[Month]:[Month]],L$1)</f>
        <v>0</v>
      </c>
      <c r="M14">
        <f>SUMIFS(operations[[Amount]:[Amount]],operations[[Category]:[Category]],$A14,operations[[Month]:[Month]],M$1)</f>
        <v>400</v>
      </c>
      <c r="N14">
        <f>SUMIFS(operations[[Amount]:[Amount]],operations[[Category]:[Category]],$A14,operations[[Month]:[Month]],N$1)</f>
        <v>2000</v>
      </c>
    </row>
    <row r="15" spans="1:14" outlineLevel="2" x14ac:dyDescent="0.25">
      <c r="A15" t="s">
        <v>30</v>
      </c>
      <c r="B15" t="s">
        <v>32</v>
      </c>
      <c r="C15">
        <f>SUMIFS(operations[[Amount]:[Amount]],operations[[Category]:[Category]],$A15,operations[[Month]:[Month]],C$1)</f>
        <v>800</v>
      </c>
      <c r="D15">
        <f>SUMIFS(operations[[Amount]:[Amount]],operations[[Category]:[Category]],$A15,operations[[Month]:[Month]],D$1)</f>
        <v>1950</v>
      </c>
      <c r="E15">
        <f>SUMIFS(operations[[Amount]:[Amount]],operations[[Category]:[Category]],$A15,operations[[Month]:[Month]],E$1)</f>
        <v>0</v>
      </c>
      <c r="F15">
        <f>SUMIFS(operations[[Amount]:[Amount]],operations[[Category]:[Category]],$A15,operations[[Month]:[Month]],F$1)</f>
        <v>0</v>
      </c>
      <c r="G15">
        <f>SUMIFS(operations[[Amount]:[Amount]],operations[[Category]:[Category]],$A15,operations[[Month]:[Month]],G$1)</f>
        <v>0</v>
      </c>
      <c r="H15">
        <f>SUMIFS(operations[[Amount]:[Amount]],operations[[Category]:[Category]],$A15,operations[[Month]:[Month]],H$1)</f>
        <v>0</v>
      </c>
      <c r="I15">
        <f>SUMIFS(operations[[Amount]:[Amount]],operations[[Category]:[Category]],$A15,operations[[Month]:[Month]],I$1)</f>
        <v>0</v>
      </c>
      <c r="J15">
        <f>SUMIFS(operations[[Amount]:[Amount]],operations[[Category]:[Category]],$A15,operations[[Month]:[Month]],J$1)</f>
        <v>0</v>
      </c>
      <c r="K15">
        <f>SUMIFS(operations[[Amount]:[Amount]],operations[[Category]:[Category]],$A15,operations[[Month]:[Month]],K$1)</f>
        <v>0</v>
      </c>
      <c r="L15">
        <f>SUMIFS(operations[[Amount]:[Amount]],operations[[Category]:[Category]],$A15,operations[[Month]:[Month]],L$1)</f>
        <v>0</v>
      </c>
      <c r="M15">
        <f>SUMIFS(operations[[Amount]:[Amount]],operations[[Category]:[Category]],$A15,operations[[Month]:[Month]],M$1)</f>
        <v>0</v>
      </c>
      <c r="N15">
        <f>SUMIFS(operations[[Amount]:[Amount]],operations[[Category]:[Category]],$A15,operations[[Month]:[Month]],N$1)</f>
        <v>0</v>
      </c>
    </row>
    <row r="16" spans="1:14" outlineLevel="2" x14ac:dyDescent="0.25">
      <c r="A16" t="s">
        <v>26</v>
      </c>
      <c r="B16" t="s">
        <v>32</v>
      </c>
      <c r="C16">
        <f>SUMIFS(operations[[Amount]:[Amount]],operations[[Category]:[Category]],$A16,operations[[Month]:[Month]],C$1)</f>
        <v>4500</v>
      </c>
      <c r="D16">
        <f>SUMIFS(operations[[Amount]:[Amount]],operations[[Category]:[Category]],$A16,operations[[Month]:[Month]],D$1)</f>
        <v>4500</v>
      </c>
      <c r="E16">
        <f>SUMIFS(operations[[Amount]:[Amount]],operations[[Category]:[Category]],$A16,operations[[Month]:[Month]],E$1)</f>
        <v>4500</v>
      </c>
      <c r="F16">
        <f>SUMIFS(operations[[Amount]:[Amount]],operations[[Category]:[Category]],$A16,operations[[Month]:[Month]],F$1)</f>
        <v>4500</v>
      </c>
      <c r="G16">
        <f>SUMIFS(operations[[Amount]:[Amount]],operations[[Category]:[Category]],$A16,operations[[Month]:[Month]],G$1)</f>
        <v>4500</v>
      </c>
      <c r="H16">
        <f>SUMIFS(operations[[Amount]:[Amount]],operations[[Category]:[Category]],$A16,operations[[Month]:[Month]],H$1)</f>
        <v>4500</v>
      </c>
      <c r="I16">
        <f>SUMIFS(operations[[Amount]:[Amount]],operations[[Category]:[Category]],$A16,operations[[Month]:[Month]],I$1)</f>
        <v>4500</v>
      </c>
      <c r="J16">
        <f>SUMIFS(operations[[Amount]:[Amount]],operations[[Category]:[Category]],$A16,operations[[Month]:[Month]],J$1)</f>
        <v>4500</v>
      </c>
      <c r="K16">
        <f>SUMIFS(operations[[Amount]:[Amount]],operations[[Category]:[Category]],$A16,operations[[Month]:[Month]],K$1)</f>
        <v>4500</v>
      </c>
      <c r="L16">
        <f>SUMIFS(operations[[Amount]:[Amount]],operations[[Category]:[Category]],$A16,operations[[Month]:[Month]],L$1)</f>
        <v>4500</v>
      </c>
      <c r="M16">
        <f>SUMIFS(operations[[Amount]:[Amount]],operations[[Category]:[Category]],$A16,operations[[Month]:[Month]],M$1)</f>
        <v>4500</v>
      </c>
      <c r="N16">
        <f>SUMIFS(operations[[Amount]:[Amount]],operations[[Category]:[Category]],$A16,operations[[Month]:[Month]],N$1)</f>
        <v>4500</v>
      </c>
    </row>
    <row r="17" spans="1:14" outlineLevel="2" x14ac:dyDescent="0.25">
      <c r="A17" t="s">
        <v>27</v>
      </c>
      <c r="B17" t="s">
        <v>32</v>
      </c>
      <c r="C17">
        <f>SUMIFS(operations[[Amount]:[Amount]],operations[[Category]:[Category]],$A17,operations[[Month]:[Month]],C$1)</f>
        <v>0</v>
      </c>
      <c r="D17">
        <f>SUMIFS(operations[[Amount]:[Amount]],operations[[Category]:[Category]],$A17,operations[[Month]:[Month]],D$1)</f>
        <v>0</v>
      </c>
      <c r="E17">
        <f>SUMIFS(operations[[Amount]:[Amount]],operations[[Category]:[Category]],$A17,operations[[Month]:[Month]],E$1)</f>
        <v>0</v>
      </c>
      <c r="F17">
        <f>SUMIFS(operations[[Amount]:[Amount]],operations[[Category]:[Category]],$A17,operations[[Month]:[Month]],F$1)</f>
        <v>0</v>
      </c>
      <c r="G17">
        <f>SUMIFS(operations[[Amount]:[Amount]],operations[[Category]:[Category]],$A17,operations[[Month]:[Month]],G$1)</f>
        <v>0</v>
      </c>
      <c r="H17">
        <f>SUMIFS(operations[[Amount]:[Amount]],operations[[Category]:[Category]],$A17,operations[[Month]:[Month]],H$1)</f>
        <v>0</v>
      </c>
      <c r="I17">
        <f>SUMIFS(operations[[Amount]:[Amount]],operations[[Category]:[Category]],$A17,operations[[Month]:[Month]],I$1)</f>
        <v>500</v>
      </c>
      <c r="J17">
        <f>SUMIFS(operations[[Amount]:[Amount]],operations[[Category]:[Category]],$A17,operations[[Month]:[Month]],J$1)</f>
        <v>500</v>
      </c>
      <c r="K17">
        <f>SUMIFS(operations[[Amount]:[Amount]],operations[[Category]:[Category]],$A17,operations[[Month]:[Month]],K$1)</f>
        <v>0</v>
      </c>
      <c r="L17">
        <f>SUMIFS(operations[[Amount]:[Amount]],operations[[Category]:[Category]],$A17,operations[[Month]:[Month]],L$1)</f>
        <v>0</v>
      </c>
      <c r="M17">
        <f>SUMIFS(operations[[Amount]:[Amount]],operations[[Category]:[Category]],$A17,operations[[Month]:[Month]],M$1)</f>
        <v>0</v>
      </c>
      <c r="N17">
        <f>SUMIFS(operations[[Amount]:[Amount]],operations[[Category]:[Category]],$A17,operations[[Month]:[Month]],N$1)</f>
        <v>0</v>
      </c>
    </row>
    <row r="18" spans="1:14" outlineLevel="1" x14ac:dyDescent="0.25">
      <c r="B18" s="8" t="s">
        <v>52</v>
      </c>
      <c r="C18">
        <f t="shared" ref="C18:N18" si="1">SUBTOTAL(9,C12:C17)</f>
        <v>5655.5</v>
      </c>
      <c r="D18">
        <f t="shared" si="1"/>
        <v>6565</v>
      </c>
      <c r="E18">
        <f t="shared" si="1"/>
        <v>4655</v>
      </c>
      <c r="F18">
        <f t="shared" si="1"/>
        <v>4700</v>
      </c>
      <c r="G18">
        <f t="shared" si="1"/>
        <v>4500</v>
      </c>
      <c r="H18">
        <f t="shared" si="1"/>
        <v>4900</v>
      </c>
      <c r="I18">
        <f t="shared" si="1"/>
        <v>5920</v>
      </c>
      <c r="J18">
        <f t="shared" si="1"/>
        <v>5400</v>
      </c>
      <c r="K18">
        <f t="shared" si="1"/>
        <v>4500</v>
      </c>
      <c r="L18">
        <f t="shared" si="1"/>
        <v>4500</v>
      </c>
      <c r="M18">
        <f t="shared" si="1"/>
        <v>4900</v>
      </c>
      <c r="N18">
        <f t="shared" si="1"/>
        <v>6500</v>
      </c>
    </row>
    <row r="19" spans="1:14" outlineLevel="2" x14ac:dyDescent="0.25">
      <c r="A19" t="s">
        <v>31</v>
      </c>
      <c r="B19" t="s">
        <v>31</v>
      </c>
      <c r="C19">
        <f>SUMIFS(operations[[Amount]:[Amount]],operations[[Category]:[Category]],$A19,operations[[Month]:[Month]],C$1)</f>
        <v>0</v>
      </c>
      <c r="D19">
        <f>SUMIFS(operations[[Amount]:[Amount]],operations[[Category]:[Category]],$A19,operations[[Month]:[Month]],D$1)</f>
        <v>0</v>
      </c>
      <c r="E19">
        <f>SUMIFS(operations[[Amount]:[Amount]],operations[[Category]:[Category]],$A19,operations[[Month]:[Month]],E$1)</f>
        <v>0</v>
      </c>
      <c r="F19">
        <f>SUMIFS(operations[[Amount]:[Amount]],operations[[Category]:[Category]],$A19,operations[[Month]:[Month]],F$1)</f>
        <v>0</v>
      </c>
      <c r="G19">
        <f>SUMIFS(operations[[Amount]:[Amount]],operations[[Category]:[Category]],$A19,operations[[Month]:[Month]],G$1)</f>
        <v>0</v>
      </c>
      <c r="H19">
        <f>SUMIFS(operations[[Amount]:[Amount]],operations[[Category]:[Category]],$A19,operations[[Month]:[Month]],H$1)</f>
        <v>0</v>
      </c>
      <c r="I19">
        <f>SUMIFS(operations[[Amount]:[Amount]],operations[[Category]:[Category]],$A19,operations[[Month]:[Month]],I$1)</f>
        <v>0</v>
      </c>
      <c r="J19">
        <f>SUMIFS(operations[[Amount]:[Amount]],operations[[Category]:[Category]],$A19,operations[[Month]:[Month]],J$1)</f>
        <v>0</v>
      </c>
      <c r="K19">
        <f>SUMIFS(operations[[Amount]:[Amount]],operations[[Category]:[Category]],$A19,operations[[Month]:[Month]],K$1)</f>
        <v>0</v>
      </c>
      <c r="L19">
        <f>SUMIFS(operations[[Amount]:[Amount]],operations[[Category]:[Category]],$A19,operations[[Month]:[Month]],L$1)</f>
        <v>0</v>
      </c>
      <c r="M19">
        <f>SUMIFS(operations[[Amount]:[Amount]],operations[[Category]:[Category]],$A19,operations[[Month]:[Month]],M$1)</f>
        <v>0</v>
      </c>
      <c r="N19">
        <f>SUMIFS(operations[[Amount]:[Amount]],operations[[Category]:[Category]],$A19,operations[[Month]:[Month]],N$1)</f>
        <v>0</v>
      </c>
    </row>
    <row r="20" spans="1:14" outlineLevel="1" x14ac:dyDescent="0.25">
      <c r="B20" s="8" t="s">
        <v>53</v>
      </c>
      <c r="C20">
        <f t="shared" ref="C20:N20" si="2">SUBTOTAL(9,C19:C19)</f>
        <v>0</v>
      </c>
      <c r="D20">
        <f t="shared" si="2"/>
        <v>0</v>
      </c>
      <c r="E20">
        <f t="shared" si="2"/>
        <v>0</v>
      </c>
      <c r="F20">
        <f t="shared" si="2"/>
        <v>0</v>
      </c>
      <c r="G20">
        <f t="shared" si="2"/>
        <v>0</v>
      </c>
      <c r="H20">
        <f t="shared" si="2"/>
        <v>0</v>
      </c>
      <c r="I20">
        <f t="shared" si="2"/>
        <v>0</v>
      </c>
      <c r="J20">
        <f t="shared" si="2"/>
        <v>0</v>
      </c>
      <c r="K20">
        <f t="shared" si="2"/>
        <v>0</v>
      </c>
      <c r="L20">
        <f t="shared" si="2"/>
        <v>0</v>
      </c>
      <c r="M20">
        <f t="shared" si="2"/>
        <v>0</v>
      </c>
      <c r="N20">
        <f t="shared" si="2"/>
        <v>0</v>
      </c>
    </row>
    <row r="21" spans="1:14" x14ac:dyDescent="0.25">
      <c r="B21" s="8" t="s">
        <v>54</v>
      </c>
      <c r="C21">
        <f t="shared" ref="C21:N21" si="3">SUBTOTAL(9,C2:C19)</f>
        <v>845.5</v>
      </c>
      <c r="D21">
        <f t="shared" si="3"/>
        <v>2464.5</v>
      </c>
      <c r="E21">
        <f t="shared" si="3"/>
        <v>755.60999999999967</v>
      </c>
      <c r="F21">
        <f t="shared" si="3"/>
        <v>726.84000000000015</v>
      </c>
      <c r="G21">
        <f t="shared" si="3"/>
        <v>1290</v>
      </c>
      <c r="H21">
        <f t="shared" si="3"/>
        <v>1170</v>
      </c>
      <c r="I21">
        <f t="shared" si="3"/>
        <v>2915</v>
      </c>
      <c r="J21">
        <f t="shared" si="3"/>
        <v>1410.5</v>
      </c>
      <c r="K21">
        <f t="shared" si="3"/>
        <v>1751.5</v>
      </c>
      <c r="L21">
        <f t="shared" si="3"/>
        <v>1670</v>
      </c>
      <c r="M21">
        <f t="shared" si="3"/>
        <v>1400</v>
      </c>
      <c r="N21">
        <f t="shared" si="3"/>
        <v>2420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B7EE-723E-443E-9F20-E6CFC72EA306}">
  <sheetPr codeName="Sheet4"/>
  <dimension ref="A3:O24"/>
  <sheetViews>
    <sheetView topLeftCell="A4" workbookViewId="0">
      <selection activeCell="E29" sqref="E29:E30"/>
    </sheetView>
  </sheetViews>
  <sheetFormatPr defaultRowHeight="15" x14ac:dyDescent="0.25"/>
  <cols>
    <col min="1" max="1" width="17.7109375" bestFit="1" customWidth="1"/>
    <col min="2" max="2" width="13.7109375" bestFit="1" customWidth="1"/>
    <col min="3" max="14" width="10.42578125" bestFit="1" customWidth="1"/>
    <col min="15" max="15" width="11.42578125" bestFit="1" customWidth="1"/>
  </cols>
  <sheetData>
    <row r="3" spans="1:15" x14ac:dyDescent="0.25">
      <c r="A3" s="9" t="s">
        <v>55</v>
      </c>
      <c r="C3" s="9" t="s">
        <v>6</v>
      </c>
    </row>
    <row r="4" spans="1:15" x14ac:dyDescent="0.25">
      <c r="A4" s="9" t="s">
        <v>4</v>
      </c>
      <c r="B4" s="9" t="s">
        <v>3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 t="s">
        <v>54</v>
      </c>
    </row>
    <row r="5" spans="1:15" x14ac:dyDescent="0.25">
      <c r="A5" t="s">
        <v>38</v>
      </c>
      <c r="B5" t="s">
        <v>18</v>
      </c>
      <c r="C5" s="10">
        <v>-2000</v>
      </c>
      <c r="D5" s="10">
        <v>-2000</v>
      </c>
      <c r="E5" s="10">
        <v>-2000</v>
      </c>
      <c r="F5" s="10">
        <v>-2000</v>
      </c>
      <c r="G5" s="10">
        <v>-2000</v>
      </c>
      <c r="H5" s="10">
        <v>-2000</v>
      </c>
      <c r="I5" s="10">
        <v>-2000</v>
      </c>
      <c r="J5" s="10">
        <v>-2000</v>
      </c>
      <c r="K5" s="10">
        <v>-2000</v>
      </c>
      <c r="L5" s="10">
        <v>-2000</v>
      </c>
      <c r="M5" s="10">
        <v>-2000</v>
      </c>
      <c r="N5" s="10">
        <v>-2000</v>
      </c>
      <c r="O5" s="10">
        <v>-24000</v>
      </c>
    </row>
    <row r="6" spans="1:15" x14ac:dyDescent="0.25">
      <c r="B6" t="s">
        <v>22</v>
      </c>
      <c r="C6" s="10">
        <v>-80</v>
      </c>
      <c r="D6" s="10"/>
      <c r="E6" s="10">
        <v>-469.9</v>
      </c>
      <c r="F6" s="10">
        <v>-149</v>
      </c>
      <c r="G6" s="10"/>
      <c r="H6" s="10">
        <v>-300</v>
      </c>
      <c r="I6" s="10">
        <v>250</v>
      </c>
      <c r="J6" s="10">
        <v>-300</v>
      </c>
      <c r="K6" s="10"/>
      <c r="L6" s="10"/>
      <c r="M6" s="10">
        <v>-158</v>
      </c>
      <c r="N6" s="10">
        <v>-120</v>
      </c>
      <c r="O6" s="10">
        <v>-1326.9</v>
      </c>
    </row>
    <row r="7" spans="1:15" x14ac:dyDescent="0.25">
      <c r="B7" t="s">
        <v>20</v>
      </c>
      <c r="C7" s="10">
        <v>-85</v>
      </c>
      <c r="D7" s="10">
        <v>-350</v>
      </c>
      <c r="E7" s="10">
        <v>-200</v>
      </c>
      <c r="F7" s="10">
        <v>-1057.9000000000001</v>
      </c>
      <c r="G7" s="10">
        <v>-80</v>
      </c>
      <c r="H7" s="10">
        <v>-200</v>
      </c>
      <c r="I7" s="10">
        <v>-700</v>
      </c>
      <c r="J7" s="10">
        <v>-250</v>
      </c>
      <c r="K7" s="10">
        <v>-20</v>
      </c>
      <c r="L7" s="10">
        <v>-40</v>
      </c>
      <c r="M7" s="10">
        <v>-214</v>
      </c>
      <c r="N7" s="10">
        <v>-450</v>
      </c>
      <c r="O7" s="10">
        <v>-3646.9</v>
      </c>
    </row>
    <row r="8" spans="1:15" x14ac:dyDescent="0.25">
      <c r="B8" t="s">
        <v>17</v>
      </c>
      <c r="C8" s="10">
        <v>-1715</v>
      </c>
      <c r="D8" s="10">
        <v>-405.5</v>
      </c>
      <c r="E8" s="10">
        <v>-734.99</v>
      </c>
      <c r="F8" s="10">
        <v>-372.26</v>
      </c>
      <c r="G8" s="10">
        <v>-1000</v>
      </c>
      <c r="H8" s="10">
        <v>-1000</v>
      </c>
      <c r="I8" s="10">
        <v>-165</v>
      </c>
      <c r="J8" s="10">
        <v>-749.5</v>
      </c>
      <c r="K8" s="10">
        <v>-538.5</v>
      </c>
      <c r="L8" s="10">
        <v>-600</v>
      </c>
      <c r="M8" s="10">
        <v>-506</v>
      </c>
      <c r="N8" s="10">
        <v>-700</v>
      </c>
      <c r="O8" s="10">
        <v>-8486.75</v>
      </c>
    </row>
    <row r="9" spans="1:15" x14ac:dyDescent="0.25">
      <c r="B9" t="s">
        <v>21</v>
      </c>
      <c r="C9" s="10">
        <v>-100</v>
      </c>
      <c r="D9" s="10">
        <v>-250</v>
      </c>
      <c r="E9" s="10">
        <v>-9.5</v>
      </c>
      <c r="F9" s="10">
        <v>-23.5</v>
      </c>
      <c r="G9" s="10"/>
      <c r="H9" s="10">
        <v>-100</v>
      </c>
      <c r="I9" s="10">
        <v>-300</v>
      </c>
      <c r="J9" s="10">
        <v>-400</v>
      </c>
      <c r="K9" s="10"/>
      <c r="L9" s="10"/>
      <c r="M9" s="10">
        <v>-133</v>
      </c>
      <c r="N9" s="10">
        <v>-10</v>
      </c>
      <c r="O9" s="10">
        <v>-1326</v>
      </c>
    </row>
    <row r="10" spans="1:15" x14ac:dyDescent="0.25">
      <c r="B10" t="s">
        <v>19</v>
      </c>
      <c r="C10" s="10">
        <v>-150</v>
      </c>
      <c r="D10" s="10">
        <v>-150</v>
      </c>
      <c r="E10" s="10">
        <v>-23</v>
      </c>
      <c r="F10" s="10">
        <v>-49</v>
      </c>
      <c r="G10" s="10">
        <v>-50</v>
      </c>
      <c r="H10" s="10">
        <v>-50</v>
      </c>
      <c r="I10" s="10"/>
      <c r="J10" s="10"/>
      <c r="K10" s="10">
        <v>-40</v>
      </c>
      <c r="L10" s="10">
        <v>-40</v>
      </c>
      <c r="M10" s="10">
        <v>-47</v>
      </c>
      <c r="N10" s="10"/>
      <c r="O10" s="10">
        <v>-599</v>
      </c>
    </row>
    <row r="11" spans="1:15" x14ac:dyDescent="0.25">
      <c r="B11" t="s">
        <v>24</v>
      </c>
      <c r="C11" s="10">
        <v>-500</v>
      </c>
      <c r="D11" s="10">
        <v>-765</v>
      </c>
      <c r="E11" s="10">
        <v>-300</v>
      </c>
      <c r="F11" s="10">
        <v>-100</v>
      </c>
      <c r="G11" s="10"/>
      <c r="H11" s="10"/>
      <c r="I11" s="10"/>
      <c r="J11" s="10"/>
      <c r="K11" s="10"/>
      <c r="L11" s="10"/>
      <c r="M11" s="10">
        <v>-234</v>
      </c>
      <c r="N11" s="10">
        <v>-700</v>
      </c>
      <c r="O11" s="10">
        <v>-2599</v>
      </c>
    </row>
    <row r="12" spans="1:15" x14ac:dyDescent="0.25">
      <c r="B12" t="s">
        <v>23</v>
      </c>
      <c r="C12" s="10">
        <v>-100</v>
      </c>
      <c r="D12" s="10">
        <v>-100</v>
      </c>
      <c r="E12" s="10">
        <v>-79.5</v>
      </c>
      <c r="F12" s="10">
        <v>-139</v>
      </c>
      <c r="G12" s="10"/>
      <c r="H12" s="10"/>
      <c r="I12" s="10"/>
      <c r="J12" s="10"/>
      <c r="K12" s="10"/>
      <c r="L12" s="10"/>
      <c r="M12" s="10"/>
      <c r="N12" s="10">
        <v>-100</v>
      </c>
      <c r="O12" s="10">
        <v>-518.5</v>
      </c>
    </row>
    <row r="13" spans="1:15" x14ac:dyDescent="0.25">
      <c r="B13" t="s">
        <v>16</v>
      </c>
      <c r="C13" s="10">
        <v>-80</v>
      </c>
      <c r="D13" s="10">
        <v>-80</v>
      </c>
      <c r="E13" s="10">
        <v>-82.5</v>
      </c>
      <c r="F13" s="10">
        <v>-82.5</v>
      </c>
      <c r="G13" s="10">
        <v>-80</v>
      </c>
      <c r="H13" s="10">
        <v>-80</v>
      </c>
      <c r="I13" s="10">
        <v>-90</v>
      </c>
      <c r="J13" s="10">
        <v>-290</v>
      </c>
      <c r="K13" s="10">
        <v>-150</v>
      </c>
      <c r="L13" s="10">
        <v>-150</v>
      </c>
      <c r="M13" s="10">
        <v>-208</v>
      </c>
      <c r="N13" s="10"/>
      <c r="O13" s="10">
        <v>-1373</v>
      </c>
    </row>
    <row r="14" spans="1:15" x14ac:dyDescent="0.25">
      <c r="A14" t="s">
        <v>51</v>
      </c>
      <c r="C14" s="10">
        <v>-4810</v>
      </c>
      <c r="D14" s="10">
        <v>-4100.5</v>
      </c>
      <c r="E14" s="10">
        <v>-3899.3900000000003</v>
      </c>
      <c r="F14" s="10">
        <v>-3973.16</v>
      </c>
      <c r="G14" s="10">
        <v>-3210</v>
      </c>
      <c r="H14" s="10">
        <v>-3730</v>
      </c>
      <c r="I14" s="10">
        <v>-3005</v>
      </c>
      <c r="J14" s="10">
        <v>-3989.5</v>
      </c>
      <c r="K14" s="10">
        <v>-2748.5</v>
      </c>
      <c r="L14" s="10">
        <v>-2830</v>
      </c>
      <c r="M14" s="10">
        <v>-3500</v>
      </c>
      <c r="N14" s="10">
        <v>-4080</v>
      </c>
      <c r="O14" s="10">
        <v>-43876.05</v>
      </c>
    </row>
    <row r="15" spans="1:15" x14ac:dyDescent="0.25">
      <c r="A15" t="s">
        <v>32</v>
      </c>
      <c r="B15" t="s">
        <v>25</v>
      </c>
      <c r="C15" s="10">
        <v>250</v>
      </c>
      <c r="D15" s="10"/>
      <c r="E15" s="10"/>
      <c r="F15" s="10"/>
      <c r="G15" s="10"/>
      <c r="H15" s="10">
        <v>400</v>
      </c>
      <c r="I15" s="10"/>
      <c r="J15" s="10"/>
      <c r="K15" s="10"/>
      <c r="L15" s="10"/>
      <c r="M15" s="10"/>
      <c r="N15" s="10"/>
      <c r="O15" s="10">
        <v>650</v>
      </c>
    </row>
    <row r="16" spans="1:15" x14ac:dyDescent="0.25">
      <c r="B16" t="s">
        <v>28</v>
      </c>
      <c r="C16" s="10">
        <v>105.5</v>
      </c>
      <c r="D16" s="10">
        <v>115</v>
      </c>
      <c r="E16" s="10">
        <v>150</v>
      </c>
      <c r="F16" s="10">
        <v>150</v>
      </c>
      <c r="G16" s="10"/>
      <c r="H16" s="10"/>
      <c r="I16" s="10">
        <v>120</v>
      </c>
      <c r="J16" s="10"/>
      <c r="K16" s="10"/>
      <c r="L16" s="10"/>
      <c r="M16" s="10"/>
      <c r="N16" s="10"/>
      <c r="O16" s="10">
        <v>640.5</v>
      </c>
    </row>
    <row r="17" spans="1:15" x14ac:dyDescent="0.25">
      <c r="B17" t="s">
        <v>29</v>
      </c>
      <c r="C17" s="10"/>
      <c r="D17" s="10"/>
      <c r="E17" s="10">
        <v>5</v>
      </c>
      <c r="F17" s="10">
        <v>50</v>
      </c>
      <c r="G17" s="10"/>
      <c r="H17" s="10"/>
      <c r="I17" s="10">
        <v>800</v>
      </c>
      <c r="J17" s="10">
        <v>400</v>
      </c>
      <c r="K17" s="10"/>
      <c r="L17" s="10"/>
      <c r="M17" s="10">
        <v>400</v>
      </c>
      <c r="N17" s="10">
        <v>2000</v>
      </c>
      <c r="O17" s="10">
        <v>3655</v>
      </c>
    </row>
    <row r="18" spans="1:15" x14ac:dyDescent="0.25">
      <c r="B18" t="s">
        <v>30</v>
      </c>
      <c r="C18" s="10">
        <v>800</v>
      </c>
      <c r="D18" s="10">
        <v>1950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>
        <v>2750</v>
      </c>
    </row>
    <row r="19" spans="1:15" x14ac:dyDescent="0.25">
      <c r="B19" t="s">
        <v>26</v>
      </c>
      <c r="C19" s="10">
        <v>4500</v>
      </c>
      <c r="D19" s="10">
        <v>4500</v>
      </c>
      <c r="E19" s="10">
        <v>4500</v>
      </c>
      <c r="F19" s="10">
        <v>4500</v>
      </c>
      <c r="G19" s="10">
        <v>4500</v>
      </c>
      <c r="H19" s="10">
        <v>4500</v>
      </c>
      <c r="I19" s="10">
        <v>4500</v>
      </c>
      <c r="J19" s="10">
        <v>4500</v>
      </c>
      <c r="K19" s="10">
        <v>4500</v>
      </c>
      <c r="L19" s="10">
        <v>4500</v>
      </c>
      <c r="M19" s="10">
        <v>4500</v>
      </c>
      <c r="N19" s="10">
        <v>4500</v>
      </c>
      <c r="O19" s="10">
        <v>54000</v>
      </c>
    </row>
    <row r="20" spans="1:15" x14ac:dyDescent="0.25">
      <c r="B20" t="s">
        <v>27</v>
      </c>
      <c r="C20" s="10"/>
      <c r="D20" s="10"/>
      <c r="E20" s="10"/>
      <c r="F20" s="10"/>
      <c r="G20" s="10"/>
      <c r="H20" s="10"/>
      <c r="I20" s="10">
        <v>500</v>
      </c>
      <c r="J20" s="10">
        <v>500</v>
      </c>
      <c r="K20" s="10"/>
      <c r="L20" s="10"/>
      <c r="M20" s="10"/>
      <c r="N20" s="10"/>
      <c r="O20" s="10">
        <v>1000</v>
      </c>
    </row>
    <row r="21" spans="1:15" x14ac:dyDescent="0.25">
      <c r="A21" t="s">
        <v>52</v>
      </c>
      <c r="C21" s="10">
        <v>5655.5</v>
      </c>
      <c r="D21" s="10">
        <v>6565</v>
      </c>
      <c r="E21" s="10">
        <v>4655</v>
      </c>
      <c r="F21" s="10">
        <v>4700</v>
      </c>
      <c r="G21" s="10">
        <v>4500</v>
      </c>
      <c r="H21" s="10">
        <v>4900</v>
      </c>
      <c r="I21" s="10">
        <v>5920</v>
      </c>
      <c r="J21" s="10">
        <v>5400</v>
      </c>
      <c r="K21" s="10">
        <v>4500</v>
      </c>
      <c r="L21" s="10">
        <v>4500</v>
      </c>
      <c r="M21" s="10">
        <v>4900</v>
      </c>
      <c r="N21" s="10">
        <v>6500</v>
      </c>
      <c r="O21" s="10">
        <v>62695.5</v>
      </c>
    </row>
    <row r="22" spans="1:15" x14ac:dyDescent="0.25">
      <c r="A22" t="s">
        <v>31</v>
      </c>
      <c r="B22" t="s">
        <v>31</v>
      </c>
      <c r="C22" s="10"/>
      <c r="D22" s="10">
        <v>0</v>
      </c>
      <c r="E22" s="10"/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/>
      <c r="O22" s="10">
        <v>0</v>
      </c>
    </row>
    <row r="23" spans="1:15" x14ac:dyDescent="0.25">
      <c r="A23" t="s">
        <v>53</v>
      </c>
      <c r="C23" s="10"/>
      <c r="D23" s="10">
        <v>0</v>
      </c>
      <c r="E23" s="10"/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/>
      <c r="O23" s="10">
        <v>0</v>
      </c>
    </row>
    <row r="24" spans="1:15" x14ac:dyDescent="0.25">
      <c r="A24" t="s">
        <v>54</v>
      </c>
      <c r="C24" s="10">
        <v>845.5</v>
      </c>
      <c r="D24" s="10">
        <v>2464.5</v>
      </c>
      <c r="E24" s="10">
        <v>755.60999999999967</v>
      </c>
      <c r="F24" s="10">
        <v>726.84000000000015</v>
      </c>
      <c r="G24" s="10">
        <v>1290</v>
      </c>
      <c r="H24" s="10">
        <v>1170</v>
      </c>
      <c r="I24" s="10">
        <v>2915</v>
      </c>
      <c r="J24" s="10">
        <v>1410.5</v>
      </c>
      <c r="K24" s="10">
        <v>1751.5</v>
      </c>
      <c r="L24" s="10">
        <v>1670</v>
      </c>
      <c r="M24" s="10">
        <v>1400</v>
      </c>
      <c r="N24" s="10">
        <v>2420</v>
      </c>
      <c r="O24" s="10">
        <v>18819.449999999997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sheetPr codeName="Sheet5"/>
  <dimension ref="A1:G208"/>
  <sheetViews>
    <sheetView workbookViewId="0">
      <selection activeCell="P8" sqref="P8"/>
    </sheetView>
  </sheetViews>
  <sheetFormatPr defaultRowHeight="15" x14ac:dyDescent="0.25"/>
  <cols>
    <col min="1" max="1" width="11.85546875" bestFit="1" customWidth="1"/>
    <col min="2" max="2" width="10.7109375" bestFit="1" customWidth="1"/>
    <col min="3" max="3" width="18.5703125" bestFit="1" customWidth="1"/>
    <col min="4" max="4" width="16" bestFit="1" customWidth="1"/>
    <col min="5" max="5" width="7.7109375" bestFit="1" customWidth="1"/>
    <col min="6" max="6" width="11.28515625" bestFit="1" customWidth="1"/>
    <col min="7" max="7" width="7.85546875" customWidth="1"/>
    <col min="10" max="10" width="16.28515625" bestFit="1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-1500</v>
      </c>
      <c r="B2" s="1" t="s">
        <v>7</v>
      </c>
      <c r="C2" s="1" t="s">
        <v>8</v>
      </c>
      <c r="D2" s="1" t="s">
        <v>17</v>
      </c>
      <c r="E2" s="1" t="str">
        <f>_xlfn.XLOOKUP(operations[[#This Row],[Category]],categories[Category],categories[Type],"",0,1)</f>
        <v>Expense</v>
      </c>
      <c r="F2" s="3">
        <v>45296</v>
      </c>
      <c r="G2" s="1">
        <f>MONTH(operations[[#This Row],[Date]])</f>
        <v>1</v>
      </c>
    </row>
    <row r="3" spans="1:7" x14ac:dyDescent="0.25">
      <c r="A3" s="2">
        <v>4500</v>
      </c>
      <c r="B3" s="1" t="s">
        <v>7</v>
      </c>
      <c r="C3" s="1" t="s">
        <v>8</v>
      </c>
      <c r="D3" s="1" t="s">
        <v>26</v>
      </c>
      <c r="E3" s="1" t="str">
        <f>_xlfn.XLOOKUP(operations[[#This Row],[Category]],categories[Category],categories[Type],"",0,1)</f>
        <v>Income</v>
      </c>
      <c r="F3" s="3">
        <v>45301</v>
      </c>
      <c r="G3" s="1">
        <f>MONTH(operations[[#This Row],[Date]])</f>
        <v>1</v>
      </c>
    </row>
    <row r="4" spans="1:7" x14ac:dyDescent="0.25">
      <c r="A4" s="2">
        <v>-2000</v>
      </c>
      <c r="B4" s="1" t="s">
        <v>7</v>
      </c>
      <c r="C4" s="1" t="s">
        <v>8</v>
      </c>
      <c r="D4" s="1" t="s">
        <v>18</v>
      </c>
      <c r="E4" s="1" t="str">
        <f>_xlfn.XLOOKUP(operations[[#This Row],[Category]],categories[Category],categories[Type],"",0,1)</f>
        <v>Expense</v>
      </c>
      <c r="F4" s="3">
        <v>45302</v>
      </c>
      <c r="G4" s="1">
        <f>MONTH(operations[[#This Row],[Date]])</f>
        <v>1</v>
      </c>
    </row>
    <row r="5" spans="1:7" x14ac:dyDescent="0.25">
      <c r="A5" s="2">
        <v>-45</v>
      </c>
      <c r="B5" s="1" t="s">
        <v>11</v>
      </c>
      <c r="C5" s="1" t="s">
        <v>8</v>
      </c>
      <c r="D5" s="1" t="s">
        <v>17</v>
      </c>
      <c r="E5" s="1" t="str">
        <f>_xlfn.XLOOKUP(operations[[#This Row],[Category]],categories[Category],categories[Type],"",0,1)</f>
        <v>Expense</v>
      </c>
      <c r="F5" s="3">
        <v>45305</v>
      </c>
      <c r="G5" s="1">
        <f>MONTH(operations[[#This Row],[Date]])</f>
        <v>1</v>
      </c>
    </row>
    <row r="6" spans="1:7" x14ac:dyDescent="0.25">
      <c r="A6" s="2">
        <v>-150</v>
      </c>
      <c r="B6" s="1" t="s">
        <v>7</v>
      </c>
      <c r="C6" s="1" t="s">
        <v>9</v>
      </c>
      <c r="D6" s="1" t="s">
        <v>19</v>
      </c>
      <c r="E6" s="1" t="str">
        <f>_xlfn.XLOOKUP(operations[[#This Row],[Category]],categories[Category],categories[Type],"",0,1)</f>
        <v>Expense</v>
      </c>
      <c r="F6" s="3">
        <v>45306</v>
      </c>
      <c r="G6" s="1">
        <f>MONTH(operations[[#This Row],[Date]])</f>
        <v>1</v>
      </c>
    </row>
    <row r="7" spans="1:7" x14ac:dyDescent="0.25">
      <c r="A7" s="2">
        <v>-120</v>
      </c>
      <c r="B7" s="1" t="s">
        <v>7</v>
      </c>
      <c r="C7" s="1" t="s">
        <v>8</v>
      </c>
      <c r="D7" s="1" t="s">
        <v>17</v>
      </c>
      <c r="E7" s="1" t="str">
        <f>_xlfn.XLOOKUP(operations[[#This Row],[Category]],categories[Category],categories[Type],"",0,1)</f>
        <v>Expense</v>
      </c>
      <c r="F7" s="3">
        <v>45307</v>
      </c>
      <c r="G7" s="1">
        <f>MONTH(operations[[#This Row],[Date]])</f>
        <v>1</v>
      </c>
    </row>
    <row r="8" spans="1:7" x14ac:dyDescent="0.25">
      <c r="A8" s="2">
        <v>500</v>
      </c>
      <c r="B8" s="1" t="s">
        <v>7</v>
      </c>
      <c r="C8" s="1" t="s">
        <v>8</v>
      </c>
      <c r="D8" s="1" t="s">
        <v>30</v>
      </c>
      <c r="E8" s="1" t="str">
        <f>_xlfn.XLOOKUP(operations[[#This Row],[Category]],categories[Category],categories[Type],"",0,1)</f>
        <v>Income</v>
      </c>
      <c r="F8" s="3">
        <v>45308</v>
      </c>
      <c r="G8" s="1">
        <f>MONTH(operations[[#This Row],[Date]])</f>
        <v>1</v>
      </c>
    </row>
    <row r="9" spans="1:7" x14ac:dyDescent="0.25">
      <c r="A9" s="2">
        <v>-500</v>
      </c>
      <c r="B9" s="1" t="s">
        <v>7</v>
      </c>
      <c r="C9" s="1" t="s">
        <v>10</v>
      </c>
      <c r="D9" s="1" t="s">
        <v>24</v>
      </c>
      <c r="E9" s="1" t="str">
        <f>_xlfn.XLOOKUP(operations[[#This Row],[Category]],categories[Category],categories[Type],"",0,1)</f>
        <v>Expense</v>
      </c>
      <c r="F9" s="3">
        <v>45308</v>
      </c>
      <c r="G9" s="1">
        <f>MONTH(operations[[#This Row],[Date]])</f>
        <v>1</v>
      </c>
    </row>
    <row r="10" spans="1:7" x14ac:dyDescent="0.25">
      <c r="A10" s="2">
        <v>250</v>
      </c>
      <c r="B10" s="1" t="s">
        <v>11</v>
      </c>
      <c r="C10" s="1" t="s">
        <v>12</v>
      </c>
      <c r="D10" s="1" t="s">
        <v>25</v>
      </c>
      <c r="E10" s="1" t="str">
        <f>_xlfn.XLOOKUP(operations[[#This Row],[Category]],categories[Category],categories[Type],"",0,1)</f>
        <v>Income</v>
      </c>
      <c r="F10" s="3">
        <v>45308</v>
      </c>
      <c r="G10" s="1">
        <f>MONTH(operations[[#This Row],[Date]])</f>
        <v>1</v>
      </c>
    </row>
    <row r="11" spans="1:7" x14ac:dyDescent="0.25">
      <c r="A11" s="2">
        <v>-25</v>
      </c>
      <c r="B11" s="1" t="s">
        <v>7</v>
      </c>
      <c r="C11" s="1" t="s">
        <v>9</v>
      </c>
      <c r="D11" s="1" t="s">
        <v>20</v>
      </c>
      <c r="E11" s="1" t="str">
        <f>_xlfn.XLOOKUP(operations[[#This Row],[Category]],categories[Category],categories[Type],"",0,1)</f>
        <v>Expense</v>
      </c>
      <c r="F11" s="3">
        <v>45310</v>
      </c>
      <c r="G11" s="1">
        <f>MONTH(operations[[#This Row],[Date]])</f>
        <v>1</v>
      </c>
    </row>
    <row r="12" spans="1:7" x14ac:dyDescent="0.25">
      <c r="A12" s="2">
        <v>-80</v>
      </c>
      <c r="B12" s="1" t="s">
        <v>7</v>
      </c>
      <c r="C12" s="1" t="s">
        <v>8</v>
      </c>
      <c r="D12" s="1" t="s">
        <v>16</v>
      </c>
      <c r="E12" s="1" t="str">
        <f>_xlfn.XLOOKUP(operations[[#This Row],[Category]],categories[Category],categories[Type],"",0,1)</f>
        <v>Expense</v>
      </c>
      <c r="F12" s="3">
        <v>45311</v>
      </c>
      <c r="G12" s="1">
        <f>MONTH(operations[[#This Row],[Date]])</f>
        <v>1</v>
      </c>
    </row>
    <row r="13" spans="1:7" x14ac:dyDescent="0.25">
      <c r="A13" s="2">
        <v>150</v>
      </c>
      <c r="B13" s="1" t="s">
        <v>11</v>
      </c>
      <c r="C13" s="1" t="s">
        <v>8</v>
      </c>
      <c r="D13" s="1" t="s">
        <v>30</v>
      </c>
      <c r="E13" s="1" t="str">
        <f>_xlfn.XLOOKUP(operations[[#This Row],[Category]],categories[Category],categories[Type],"",0,1)</f>
        <v>Income</v>
      </c>
      <c r="F13" s="3">
        <v>45312</v>
      </c>
      <c r="G13" s="1">
        <f>MONTH(operations[[#This Row],[Date]])</f>
        <v>1</v>
      </c>
    </row>
    <row r="14" spans="1:7" x14ac:dyDescent="0.25">
      <c r="A14" s="2">
        <v>-80</v>
      </c>
      <c r="B14" s="1" t="s">
        <v>11</v>
      </c>
      <c r="C14" s="1" t="s">
        <v>8</v>
      </c>
      <c r="D14" s="1" t="s">
        <v>22</v>
      </c>
      <c r="E14" s="1" t="str">
        <f>_xlfn.XLOOKUP(operations[[#This Row],[Category]],categories[Category],categories[Type],"",0,1)</f>
        <v>Expense</v>
      </c>
      <c r="F14" s="3">
        <v>45313</v>
      </c>
      <c r="G14" s="1">
        <f>MONTH(operations[[#This Row],[Date]])</f>
        <v>1</v>
      </c>
    </row>
    <row r="15" spans="1:7" x14ac:dyDescent="0.25">
      <c r="A15" s="2">
        <v>-60</v>
      </c>
      <c r="B15" s="1" t="s">
        <v>11</v>
      </c>
      <c r="C15" s="1" t="s">
        <v>8</v>
      </c>
      <c r="D15" s="1" t="s">
        <v>20</v>
      </c>
      <c r="E15" s="1" t="str">
        <f>_xlfn.XLOOKUP(operations[[#This Row],[Category]],categories[Category],categories[Type],"",0,1)</f>
        <v>Expense</v>
      </c>
      <c r="F15" s="3">
        <v>45314</v>
      </c>
      <c r="G15" s="1">
        <f>MONTH(operations[[#This Row],[Date]])</f>
        <v>1</v>
      </c>
    </row>
    <row r="16" spans="1:7" x14ac:dyDescent="0.25">
      <c r="A16" s="2">
        <v>-100</v>
      </c>
      <c r="B16" s="1" t="s">
        <v>7</v>
      </c>
      <c r="C16" s="1" t="s">
        <v>8</v>
      </c>
      <c r="D16" s="1" t="s">
        <v>23</v>
      </c>
      <c r="E16" s="1" t="str">
        <f>_xlfn.XLOOKUP(operations[[#This Row],[Category]],categories[Category],categories[Type],"",0,1)</f>
        <v>Expense</v>
      </c>
      <c r="F16" s="3">
        <v>45315</v>
      </c>
      <c r="G16" s="1">
        <f>MONTH(operations[[#This Row],[Date]])</f>
        <v>1</v>
      </c>
    </row>
    <row r="17" spans="1:7" x14ac:dyDescent="0.25">
      <c r="A17" s="2">
        <v>-50</v>
      </c>
      <c r="B17" s="1" t="s">
        <v>13</v>
      </c>
      <c r="C17" s="1" t="s">
        <v>15</v>
      </c>
      <c r="D17" s="1" t="s">
        <v>17</v>
      </c>
      <c r="E17" s="1" t="str">
        <f>_xlfn.XLOOKUP(operations[[#This Row],[Category]],categories[Category],categories[Type],"",0,1)</f>
        <v>Expense</v>
      </c>
      <c r="F17" s="3">
        <v>45316</v>
      </c>
      <c r="G17" s="1">
        <f>MONTH(operations[[#This Row],[Date]])</f>
        <v>1</v>
      </c>
    </row>
    <row r="18" spans="1:7" x14ac:dyDescent="0.25">
      <c r="A18" s="2">
        <v>150</v>
      </c>
      <c r="B18" s="1" t="s">
        <v>13</v>
      </c>
      <c r="C18" s="1" t="s">
        <v>14</v>
      </c>
      <c r="D18" s="1" t="s">
        <v>30</v>
      </c>
      <c r="E18" s="1" t="str">
        <f>_xlfn.XLOOKUP(operations[[#This Row],[Category]],categories[Category],categories[Type],"",0,1)</f>
        <v>Income</v>
      </c>
      <c r="F18" s="3">
        <v>45316</v>
      </c>
      <c r="G18" s="1">
        <f>MONTH(operations[[#This Row],[Date]])</f>
        <v>1</v>
      </c>
    </row>
    <row r="19" spans="1:7" x14ac:dyDescent="0.25">
      <c r="A19" s="2">
        <v>5.5</v>
      </c>
      <c r="B19" s="1" t="s">
        <v>11</v>
      </c>
      <c r="C19" s="1" t="s">
        <v>12</v>
      </c>
      <c r="D19" s="1" t="s">
        <v>28</v>
      </c>
      <c r="E19" s="1" t="str">
        <f>_xlfn.XLOOKUP(operations[[#This Row],[Category]],categories[Category],categories[Type],"",0,1)</f>
        <v>Income</v>
      </c>
      <c r="F19" s="3">
        <v>45317</v>
      </c>
      <c r="G19" s="1">
        <f>MONTH(operations[[#This Row],[Date]])</f>
        <v>1</v>
      </c>
    </row>
    <row r="20" spans="1:7" x14ac:dyDescent="0.25">
      <c r="A20" s="2">
        <v>100</v>
      </c>
      <c r="B20" s="1" t="s">
        <v>7</v>
      </c>
      <c r="C20" s="1" t="s">
        <v>10</v>
      </c>
      <c r="D20" s="1" t="s">
        <v>28</v>
      </c>
      <c r="E20" s="1" t="str">
        <f>_xlfn.XLOOKUP(operations[[#This Row],[Category]],categories[Category],categories[Type],"",0,1)</f>
        <v>Income</v>
      </c>
      <c r="F20" s="3">
        <v>45318</v>
      </c>
      <c r="G20" s="1">
        <f>MONTH(operations[[#This Row],[Date]])</f>
        <v>1</v>
      </c>
    </row>
    <row r="21" spans="1:7" x14ac:dyDescent="0.25">
      <c r="A21" s="2">
        <v>-100</v>
      </c>
      <c r="B21" s="1" t="s">
        <v>7</v>
      </c>
      <c r="C21" s="1" t="s">
        <v>8</v>
      </c>
      <c r="D21" s="1" t="s">
        <v>21</v>
      </c>
      <c r="E21" s="1" t="str">
        <f>_xlfn.XLOOKUP(operations[[#This Row],[Category]],categories[Category],categories[Type],"",0,1)</f>
        <v>Expense</v>
      </c>
      <c r="F21" s="3">
        <v>45319</v>
      </c>
      <c r="G21" s="1">
        <f>MONTH(operations[[#This Row],[Date]])</f>
        <v>1</v>
      </c>
    </row>
    <row r="22" spans="1:7" x14ac:dyDescent="0.25">
      <c r="A22" s="2">
        <v>200</v>
      </c>
      <c r="B22" s="1" t="s">
        <v>11</v>
      </c>
      <c r="C22" s="1" t="s">
        <v>8</v>
      </c>
      <c r="D22" s="1" t="s">
        <v>30</v>
      </c>
      <c r="E22" s="1" t="str">
        <f>_xlfn.XLOOKUP(operations[[#This Row],[Category]],categories[Category],categories[Type],"",0,1)</f>
        <v>Income</v>
      </c>
      <c r="F22" s="3">
        <v>45324</v>
      </c>
      <c r="G22" s="1">
        <f>MONTH(operations[[#This Row],[Date]])</f>
        <v>2</v>
      </c>
    </row>
    <row r="23" spans="1:7" x14ac:dyDescent="0.25">
      <c r="A23" s="2">
        <v>-15</v>
      </c>
      <c r="B23" s="1" t="s">
        <v>11</v>
      </c>
      <c r="C23" s="1" t="s">
        <v>8</v>
      </c>
      <c r="D23" s="1" t="s">
        <v>24</v>
      </c>
      <c r="E23" s="1" t="str">
        <f>_xlfn.XLOOKUP(operations[[#This Row],[Category]],categories[Category],categories[Type],"",0,1)</f>
        <v>Expense</v>
      </c>
      <c r="F23" s="3">
        <v>45326</v>
      </c>
      <c r="G23" s="1">
        <f>MONTH(operations[[#This Row],[Date]])</f>
        <v>2</v>
      </c>
    </row>
    <row r="24" spans="1:7" x14ac:dyDescent="0.25">
      <c r="A24" s="2">
        <v>-5.5</v>
      </c>
      <c r="B24" s="1" t="s">
        <v>7</v>
      </c>
      <c r="C24" s="1" t="s">
        <v>8</v>
      </c>
      <c r="D24" s="1" t="s">
        <v>17</v>
      </c>
      <c r="E24" s="1" t="str">
        <f>_xlfn.XLOOKUP(operations[[#This Row],[Category]],categories[Category],categories[Type],"",0,1)</f>
        <v>Expense</v>
      </c>
      <c r="F24" s="3">
        <v>45328</v>
      </c>
      <c r="G24" s="1">
        <f>MONTH(operations[[#This Row],[Date]])</f>
        <v>2</v>
      </c>
    </row>
    <row r="25" spans="1:7" x14ac:dyDescent="0.25">
      <c r="A25" s="2">
        <v>4500</v>
      </c>
      <c r="B25" s="1" t="s">
        <v>7</v>
      </c>
      <c r="C25" s="1" t="s">
        <v>8</v>
      </c>
      <c r="D25" s="1" t="s">
        <v>26</v>
      </c>
      <c r="E25" s="1" t="str">
        <f>_xlfn.XLOOKUP(operations[[#This Row],[Category]],categories[Category],categories[Type],"",0,1)</f>
        <v>Income</v>
      </c>
      <c r="F25" s="3">
        <v>45332</v>
      </c>
      <c r="G25" s="1">
        <f>MONTH(operations[[#This Row],[Date]])</f>
        <v>2</v>
      </c>
    </row>
    <row r="26" spans="1:7" x14ac:dyDescent="0.25">
      <c r="A26" s="2">
        <v>-2000</v>
      </c>
      <c r="B26" s="1" t="s">
        <v>7</v>
      </c>
      <c r="C26" s="1" t="s">
        <v>8</v>
      </c>
      <c r="D26" s="1" t="s">
        <v>18</v>
      </c>
      <c r="E26" s="1" t="str">
        <f>_xlfn.XLOOKUP(operations[[#This Row],[Category]],categories[Category],categories[Type],"",0,1)</f>
        <v>Expense</v>
      </c>
      <c r="F26" s="3">
        <v>45333</v>
      </c>
      <c r="G26" s="1">
        <f>MONTH(operations[[#This Row],[Date]])</f>
        <v>2</v>
      </c>
    </row>
    <row r="27" spans="1:7" x14ac:dyDescent="0.25">
      <c r="A27" s="2">
        <v>-150</v>
      </c>
      <c r="B27" s="1" t="s">
        <v>7</v>
      </c>
      <c r="C27" s="1" t="s">
        <v>8</v>
      </c>
      <c r="D27" s="1" t="s">
        <v>20</v>
      </c>
      <c r="E27" s="1" t="str">
        <f>_xlfn.XLOOKUP(operations[[#This Row],[Category]],categories[Category],categories[Type],"",0,1)</f>
        <v>Expense</v>
      </c>
      <c r="F27" s="3">
        <v>45335</v>
      </c>
      <c r="G27" s="1">
        <f>MONTH(operations[[#This Row],[Date]])</f>
        <v>2</v>
      </c>
    </row>
    <row r="28" spans="1:7" x14ac:dyDescent="0.25">
      <c r="A28" s="2">
        <v>500</v>
      </c>
      <c r="B28" s="1" t="s">
        <v>7</v>
      </c>
      <c r="C28" s="1" t="s">
        <v>8</v>
      </c>
      <c r="D28" s="1" t="s">
        <v>30</v>
      </c>
      <c r="E28" s="1" t="str">
        <f>_xlfn.XLOOKUP(operations[[#This Row],[Category]],categories[Category],categories[Type],"",0,1)</f>
        <v>Income</v>
      </c>
      <c r="F28" s="3">
        <v>45336</v>
      </c>
      <c r="G28" s="1">
        <f>MONTH(operations[[#This Row],[Date]])</f>
        <v>2</v>
      </c>
    </row>
    <row r="29" spans="1:7" x14ac:dyDescent="0.25">
      <c r="A29" s="2">
        <v>-300</v>
      </c>
      <c r="B29" s="1" t="s">
        <v>7</v>
      </c>
      <c r="C29" s="1" t="s">
        <v>8</v>
      </c>
      <c r="D29" s="1" t="s">
        <v>17</v>
      </c>
      <c r="E29" s="1" t="str">
        <f>_xlfn.XLOOKUP(operations[[#This Row],[Category]],categories[Category],categories[Type],"",0,1)</f>
        <v>Expense</v>
      </c>
      <c r="F29" s="3">
        <v>45336</v>
      </c>
      <c r="G29" s="1">
        <f>MONTH(operations[[#This Row],[Date]])</f>
        <v>2</v>
      </c>
    </row>
    <row r="30" spans="1:7" x14ac:dyDescent="0.25">
      <c r="A30" s="2">
        <v>-500</v>
      </c>
      <c r="B30" s="1" t="s">
        <v>7</v>
      </c>
      <c r="C30" s="1" t="s">
        <v>10</v>
      </c>
      <c r="D30" s="1" t="s">
        <v>24</v>
      </c>
      <c r="E30" s="1" t="str">
        <f>_xlfn.XLOOKUP(operations[[#This Row],[Category]],categories[Category],categories[Type],"",0,1)</f>
        <v>Expense</v>
      </c>
      <c r="F30" s="3">
        <v>45336</v>
      </c>
      <c r="G30" s="1">
        <f>MONTH(operations[[#This Row],[Date]])</f>
        <v>2</v>
      </c>
    </row>
    <row r="31" spans="1:7" x14ac:dyDescent="0.25">
      <c r="A31" s="2">
        <v>-200</v>
      </c>
      <c r="B31" s="1" t="s">
        <v>13</v>
      </c>
      <c r="C31" s="1" t="s">
        <v>14</v>
      </c>
      <c r="D31" s="1" t="s">
        <v>24</v>
      </c>
      <c r="E31" s="1" t="str">
        <f>_xlfn.XLOOKUP(operations[[#This Row],[Category]],categories[Category],categories[Type],"",0,1)</f>
        <v>Expense</v>
      </c>
      <c r="F31" s="3">
        <v>45336</v>
      </c>
      <c r="G31" s="1">
        <f>MONTH(operations[[#This Row],[Date]])</f>
        <v>2</v>
      </c>
    </row>
    <row r="32" spans="1:7" x14ac:dyDescent="0.25">
      <c r="A32" s="2">
        <v>175</v>
      </c>
      <c r="B32" s="1" t="s">
        <v>7</v>
      </c>
      <c r="C32" s="1" t="s">
        <v>9</v>
      </c>
      <c r="D32" s="1" t="s">
        <v>31</v>
      </c>
      <c r="E32" s="1" t="str">
        <f>_xlfn.XLOOKUP(operations[[#This Row],[Category]],categories[Category],categories[Type],"",0,1)</f>
        <v>Transfer</v>
      </c>
      <c r="F32" s="3">
        <v>45337</v>
      </c>
      <c r="G32" s="1">
        <f>MONTH(operations[[#This Row],[Date]])</f>
        <v>2</v>
      </c>
    </row>
    <row r="33" spans="1:7" x14ac:dyDescent="0.25">
      <c r="A33" s="2">
        <v>-175</v>
      </c>
      <c r="B33" s="1" t="s">
        <v>7</v>
      </c>
      <c r="C33" s="1" t="s">
        <v>8</v>
      </c>
      <c r="D33" s="1" t="s">
        <v>31</v>
      </c>
      <c r="E33" s="1" t="str">
        <f>_xlfn.XLOOKUP(operations[[#This Row],[Category]],categories[Category],categories[Type],"",0,1)</f>
        <v>Transfer</v>
      </c>
      <c r="F33" s="3">
        <v>45337</v>
      </c>
      <c r="G33" s="1">
        <f>MONTH(operations[[#This Row],[Date]])</f>
        <v>2</v>
      </c>
    </row>
    <row r="34" spans="1:7" x14ac:dyDescent="0.25">
      <c r="A34" s="2">
        <v>-100</v>
      </c>
      <c r="B34" s="1" t="s">
        <v>7</v>
      </c>
      <c r="C34" s="1" t="s">
        <v>8</v>
      </c>
      <c r="D34" s="1" t="s">
        <v>23</v>
      </c>
      <c r="E34" s="1" t="str">
        <f>_xlfn.XLOOKUP(operations[[#This Row],[Category]],categories[Category],categories[Type],"",0,1)</f>
        <v>Expense</v>
      </c>
      <c r="F34" s="3">
        <v>45339</v>
      </c>
      <c r="G34" s="1">
        <f>MONTH(operations[[#This Row],[Date]])</f>
        <v>2</v>
      </c>
    </row>
    <row r="35" spans="1:7" x14ac:dyDescent="0.25">
      <c r="A35" s="2">
        <v>-80</v>
      </c>
      <c r="B35" s="1" t="s">
        <v>7</v>
      </c>
      <c r="C35" s="1" t="s">
        <v>8</v>
      </c>
      <c r="D35" s="1" t="s">
        <v>16</v>
      </c>
      <c r="E35" s="1" t="str">
        <f>_xlfn.XLOOKUP(operations[[#This Row],[Category]],categories[Category],categories[Type],"",0,1)</f>
        <v>Expense</v>
      </c>
      <c r="F35" s="3">
        <v>45342</v>
      </c>
      <c r="G35" s="1">
        <f>MONTH(operations[[#This Row],[Date]])</f>
        <v>2</v>
      </c>
    </row>
    <row r="36" spans="1:7" x14ac:dyDescent="0.25">
      <c r="A36" s="2">
        <v>150</v>
      </c>
      <c r="B36" s="1" t="s">
        <v>13</v>
      </c>
      <c r="C36" s="1" t="s">
        <v>14</v>
      </c>
      <c r="D36" s="1" t="s">
        <v>30</v>
      </c>
      <c r="E36" s="1" t="str">
        <f>_xlfn.XLOOKUP(operations[[#This Row],[Category]],categories[Category],categories[Type],"",0,1)</f>
        <v>Income</v>
      </c>
      <c r="F36" s="3">
        <v>45344</v>
      </c>
      <c r="G36" s="1">
        <f>MONTH(operations[[#This Row],[Date]])</f>
        <v>2</v>
      </c>
    </row>
    <row r="37" spans="1:7" x14ac:dyDescent="0.25">
      <c r="A37" s="2">
        <v>100</v>
      </c>
      <c r="B37" s="1" t="s">
        <v>13</v>
      </c>
      <c r="C37" s="1" t="s">
        <v>15</v>
      </c>
      <c r="D37" s="1" t="s">
        <v>30</v>
      </c>
      <c r="E37" s="1" t="str">
        <f>_xlfn.XLOOKUP(operations[[#This Row],[Category]],categories[Category],categories[Type],"",0,1)</f>
        <v>Income</v>
      </c>
      <c r="F37" s="3">
        <v>45345</v>
      </c>
      <c r="G37" s="1">
        <f>MONTH(operations[[#This Row],[Date]])</f>
        <v>2</v>
      </c>
    </row>
    <row r="38" spans="1:7" x14ac:dyDescent="0.25">
      <c r="A38" s="2">
        <v>-200</v>
      </c>
      <c r="B38" s="1" t="s">
        <v>13</v>
      </c>
      <c r="C38" s="1" t="s">
        <v>14</v>
      </c>
      <c r="D38" s="1" t="s">
        <v>20</v>
      </c>
      <c r="E38" s="1" t="str">
        <f>_xlfn.XLOOKUP(operations[[#This Row],[Category]],categories[Category],categories[Type],"",0,1)</f>
        <v>Expense</v>
      </c>
      <c r="F38" s="3">
        <v>45346</v>
      </c>
      <c r="G38" s="1">
        <f>MONTH(operations[[#This Row],[Date]])</f>
        <v>2</v>
      </c>
    </row>
    <row r="39" spans="1:7" x14ac:dyDescent="0.25">
      <c r="A39" s="2">
        <v>1000</v>
      </c>
      <c r="B39" s="1" t="s">
        <v>13</v>
      </c>
      <c r="C39" s="1" t="s">
        <v>14</v>
      </c>
      <c r="D39" s="1" t="s">
        <v>30</v>
      </c>
      <c r="E39" s="1" t="str">
        <f>_xlfn.XLOOKUP(operations[[#This Row],[Category]],categories[Category],categories[Type],"",0,1)</f>
        <v>Income</v>
      </c>
      <c r="F39" s="3">
        <v>45347</v>
      </c>
      <c r="G39" s="1">
        <f>MONTH(operations[[#This Row],[Date]])</f>
        <v>2</v>
      </c>
    </row>
    <row r="40" spans="1:7" x14ac:dyDescent="0.25">
      <c r="A40" s="2">
        <v>-250</v>
      </c>
      <c r="B40" s="1" t="s">
        <v>13</v>
      </c>
      <c r="C40" s="1" t="s">
        <v>14</v>
      </c>
      <c r="D40" s="1" t="s">
        <v>21</v>
      </c>
      <c r="E40" s="1" t="str">
        <f>_xlfn.XLOOKUP(operations[[#This Row],[Category]],categories[Category],categories[Type],"",0,1)</f>
        <v>Expense</v>
      </c>
      <c r="F40" s="3">
        <v>45347</v>
      </c>
      <c r="G40" s="1">
        <f>MONTH(operations[[#This Row],[Date]])</f>
        <v>2</v>
      </c>
    </row>
    <row r="41" spans="1:7" x14ac:dyDescent="0.25">
      <c r="A41" s="2">
        <v>-100</v>
      </c>
      <c r="B41" s="1" t="s">
        <v>11</v>
      </c>
      <c r="C41" s="1" t="s">
        <v>8</v>
      </c>
      <c r="D41" s="1" t="s">
        <v>17</v>
      </c>
      <c r="E41" s="1" t="str">
        <f>_xlfn.XLOOKUP(operations[[#This Row],[Category]],categories[Category],categories[Type],"",0,1)</f>
        <v>Expense</v>
      </c>
      <c r="F41" s="3">
        <v>45348</v>
      </c>
      <c r="G41" s="1">
        <f>MONTH(operations[[#This Row],[Date]])</f>
        <v>2</v>
      </c>
    </row>
    <row r="42" spans="1:7" x14ac:dyDescent="0.25">
      <c r="A42" s="2">
        <v>-50</v>
      </c>
      <c r="B42" s="1" t="s">
        <v>11</v>
      </c>
      <c r="C42" s="1" t="s">
        <v>8</v>
      </c>
      <c r="D42" s="1" t="s">
        <v>24</v>
      </c>
      <c r="E42" s="1" t="str">
        <f>_xlfn.XLOOKUP(operations[[#This Row],[Category]],categories[Category],categories[Type],"",0,1)</f>
        <v>Expense</v>
      </c>
      <c r="F42" s="3">
        <v>45348</v>
      </c>
      <c r="G42" s="1">
        <f>MONTH(operations[[#This Row],[Date]])</f>
        <v>2</v>
      </c>
    </row>
    <row r="43" spans="1:7" x14ac:dyDescent="0.25">
      <c r="A43" s="2">
        <v>15</v>
      </c>
      <c r="B43" s="1" t="s">
        <v>11</v>
      </c>
      <c r="C43" s="1" t="s">
        <v>12</v>
      </c>
      <c r="D43" s="1" t="s">
        <v>28</v>
      </c>
      <c r="E43" s="1" t="str">
        <f>_xlfn.XLOOKUP(operations[[#This Row],[Category]],categories[Category],categories[Type],"",0,1)</f>
        <v>Income</v>
      </c>
      <c r="F43" s="3">
        <v>45349</v>
      </c>
      <c r="G43" s="1">
        <f>MONTH(operations[[#This Row],[Date]])</f>
        <v>2</v>
      </c>
    </row>
    <row r="44" spans="1:7" x14ac:dyDescent="0.25">
      <c r="A44" s="2">
        <v>-150</v>
      </c>
      <c r="B44" s="1" t="s">
        <v>7</v>
      </c>
      <c r="C44" s="1" t="s">
        <v>8</v>
      </c>
      <c r="D44" s="1" t="s">
        <v>19</v>
      </c>
      <c r="E44" s="1" t="str">
        <f>_xlfn.XLOOKUP(operations[[#This Row],[Category]],categories[Category],categories[Type],"",0,1)</f>
        <v>Expense</v>
      </c>
      <c r="F44" s="3">
        <v>45350</v>
      </c>
      <c r="G44" s="1">
        <f>MONTH(operations[[#This Row],[Date]])</f>
        <v>2</v>
      </c>
    </row>
    <row r="45" spans="1:7" x14ac:dyDescent="0.25">
      <c r="A45" s="2">
        <v>100</v>
      </c>
      <c r="B45" s="1" t="s">
        <v>7</v>
      </c>
      <c r="C45" s="1" t="s">
        <v>10</v>
      </c>
      <c r="D45" s="1" t="s">
        <v>28</v>
      </c>
      <c r="E45" s="1" t="str">
        <f>_xlfn.XLOOKUP(operations[[#This Row],[Category]],categories[Category],categories[Type],"",0,1)</f>
        <v>Income</v>
      </c>
      <c r="F45" s="3">
        <v>45350</v>
      </c>
      <c r="G45" s="1">
        <f>MONTH(operations[[#This Row],[Date]])</f>
        <v>2</v>
      </c>
    </row>
    <row r="46" spans="1:7" x14ac:dyDescent="0.25">
      <c r="A46" s="2">
        <v>-25</v>
      </c>
      <c r="B46" s="1" t="s">
        <v>7</v>
      </c>
      <c r="C46" s="1" t="s">
        <v>9</v>
      </c>
      <c r="D46" s="1" t="s">
        <v>17</v>
      </c>
      <c r="E46" s="1" t="str">
        <f>_xlfn.XLOOKUP(operations[[#This Row],[Category]],categories[Category],categories[Type],"",0,1)</f>
        <v>Expense</v>
      </c>
      <c r="F46" s="3">
        <v>45352</v>
      </c>
      <c r="G46" s="1">
        <f>MONTH(operations[[#This Row],[Date]])</f>
        <v>3</v>
      </c>
    </row>
    <row r="47" spans="1:7" x14ac:dyDescent="0.25">
      <c r="A47" s="2">
        <v>-135.5</v>
      </c>
      <c r="B47" s="1" t="s">
        <v>7</v>
      </c>
      <c r="C47" s="1" t="s">
        <v>8</v>
      </c>
      <c r="D47" s="1" t="s">
        <v>17</v>
      </c>
      <c r="E47" s="1" t="str">
        <f>_xlfn.XLOOKUP(operations[[#This Row],[Category]],categories[Category],categories[Type],"",0,1)</f>
        <v>Expense</v>
      </c>
      <c r="F47" s="3">
        <v>45353</v>
      </c>
      <c r="G47" s="1">
        <f>MONTH(operations[[#This Row],[Date]])</f>
        <v>3</v>
      </c>
    </row>
    <row r="48" spans="1:7" x14ac:dyDescent="0.25">
      <c r="A48" s="2">
        <v>-82.5</v>
      </c>
      <c r="B48" s="1" t="s">
        <v>11</v>
      </c>
      <c r="C48" s="1" t="s">
        <v>8</v>
      </c>
      <c r="D48" s="1" t="s">
        <v>16</v>
      </c>
      <c r="E48" s="1" t="str">
        <f>_xlfn.XLOOKUP(operations[[#This Row],[Category]],categories[Category],categories[Type],"",0,1)</f>
        <v>Expense</v>
      </c>
      <c r="F48" s="3">
        <v>45353</v>
      </c>
      <c r="G48" s="1">
        <f>MONTH(operations[[#This Row],[Date]])</f>
        <v>3</v>
      </c>
    </row>
    <row r="49" spans="1:7" x14ac:dyDescent="0.25">
      <c r="A49" s="2">
        <v>-200</v>
      </c>
      <c r="B49" s="1" t="s">
        <v>7</v>
      </c>
      <c r="C49" s="1" t="s">
        <v>8</v>
      </c>
      <c r="D49" s="1" t="s">
        <v>20</v>
      </c>
      <c r="E49" s="1" t="str">
        <f>_xlfn.XLOOKUP(operations[[#This Row],[Category]],categories[Category],categories[Type],"",0,1)</f>
        <v>Expense</v>
      </c>
      <c r="F49" s="3">
        <v>45355</v>
      </c>
      <c r="G49" s="1">
        <f>MONTH(operations[[#This Row],[Date]])</f>
        <v>3</v>
      </c>
    </row>
    <row r="50" spans="1:7" x14ac:dyDescent="0.25">
      <c r="A50" s="2">
        <v>150</v>
      </c>
      <c r="B50" s="1" t="s">
        <v>11</v>
      </c>
      <c r="C50" s="1" t="s">
        <v>8</v>
      </c>
      <c r="D50" s="1" t="s">
        <v>28</v>
      </c>
      <c r="E50" s="1" t="str">
        <f>_xlfn.XLOOKUP(operations[[#This Row],[Category]],categories[Category],categories[Type],"",0,1)</f>
        <v>Income</v>
      </c>
      <c r="F50" s="3">
        <v>45357</v>
      </c>
      <c r="G50" s="1">
        <f>MONTH(operations[[#This Row],[Date]])</f>
        <v>3</v>
      </c>
    </row>
    <row r="51" spans="1:7" x14ac:dyDescent="0.25">
      <c r="A51" s="2">
        <v>-24.49</v>
      </c>
      <c r="B51" s="1" t="s">
        <v>13</v>
      </c>
      <c r="C51" s="1" t="s">
        <v>15</v>
      </c>
      <c r="D51" s="1" t="s">
        <v>17</v>
      </c>
      <c r="E51" s="1" t="str">
        <f>_xlfn.XLOOKUP(operations[[#This Row],[Category]],categories[Category],categories[Type],"",0,1)</f>
        <v>Expense</v>
      </c>
      <c r="F51" s="3">
        <v>45359</v>
      </c>
      <c r="G51" s="1">
        <f>MONTH(operations[[#This Row],[Date]])</f>
        <v>3</v>
      </c>
    </row>
    <row r="52" spans="1:7" x14ac:dyDescent="0.25">
      <c r="A52" s="2">
        <v>4500</v>
      </c>
      <c r="B52" s="1" t="s">
        <v>7</v>
      </c>
      <c r="C52" s="1" t="s">
        <v>8</v>
      </c>
      <c r="D52" s="1" t="s">
        <v>26</v>
      </c>
      <c r="E52" s="1" t="str">
        <f>_xlfn.XLOOKUP(operations[[#This Row],[Category]],categories[Category],categories[Type],"",0,1)</f>
        <v>Income</v>
      </c>
      <c r="F52" s="3">
        <v>45361</v>
      </c>
      <c r="G52" s="1">
        <f>MONTH(operations[[#This Row],[Date]])</f>
        <v>3</v>
      </c>
    </row>
    <row r="53" spans="1:7" x14ac:dyDescent="0.25">
      <c r="A53" s="2">
        <v>-2000</v>
      </c>
      <c r="B53" s="1" t="s">
        <v>7</v>
      </c>
      <c r="C53" s="1" t="s">
        <v>8</v>
      </c>
      <c r="D53" s="1" t="s">
        <v>18</v>
      </c>
      <c r="E53" s="1" t="str">
        <f>_xlfn.XLOOKUP(operations[[#This Row],[Category]],categories[Category],categories[Type],"",0,1)</f>
        <v>Expense</v>
      </c>
      <c r="F53" s="3">
        <v>45362</v>
      </c>
      <c r="G53" s="1">
        <f>MONTH(operations[[#This Row],[Date]])</f>
        <v>3</v>
      </c>
    </row>
    <row r="54" spans="1:7" x14ac:dyDescent="0.25">
      <c r="A54" s="2">
        <v>-200</v>
      </c>
      <c r="B54" s="1" t="s">
        <v>7</v>
      </c>
      <c r="C54" s="1" t="s">
        <v>8</v>
      </c>
      <c r="D54" s="1" t="s">
        <v>17</v>
      </c>
      <c r="E54" s="1" t="str">
        <f>_xlfn.XLOOKUP(operations[[#This Row],[Category]],categories[Category],categories[Type],"",0,1)</f>
        <v>Expense</v>
      </c>
      <c r="F54" s="3">
        <v>45363</v>
      </c>
      <c r="G54" s="1">
        <f>MONTH(operations[[#This Row],[Date]])</f>
        <v>3</v>
      </c>
    </row>
    <row r="55" spans="1:7" x14ac:dyDescent="0.25">
      <c r="A55" s="2">
        <v>-469.9</v>
      </c>
      <c r="B55" s="1" t="s">
        <v>7</v>
      </c>
      <c r="C55" s="1" t="s">
        <v>8</v>
      </c>
      <c r="D55" s="1" t="s">
        <v>22</v>
      </c>
      <c r="E55" s="1" t="str">
        <f>_xlfn.XLOOKUP(operations[[#This Row],[Category]],categories[Category],categories[Type],"",0,1)</f>
        <v>Expense</v>
      </c>
      <c r="F55" s="3">
        <v>45364</v>
      </c>
      <c r="G55" s="1">
        <f>MONTH(operations[[#This Row],[Date]])</f>
        <v>3</v>
      </c>
    </row>
    <row r="56" spans="1:7" x14ac:dyDescent="0.25">
      <c r="A56" s="2">
        <v>-9.5</v>
      </c>
      <c r="B56" s="1" t="s">
        <v>13</v>
      </c>
      <c r="C56" s="1" t="s">
        <v>14</v>
      </c>
      <c r="D56" s="1" t="s">
        <v>21</v>
      </c>
      <c r="E56" s="1" t="str">
        <f>_xlfn.XLOOKUP(operations[[#This Row],[Category]],categories[Category],categories[Type],"",0,1)</f>
        <v>Expense</v>
      </c>
      <c r="F56" s="3">
        <v>45368</v>
      </c>
      <c r="G56" s="1">
        <f>MONTH(operations[[#This Row],[Date]])</f>
        <v>3</v>
      </c>
    </row>
    <row r="57" spans="1:7" x14ac:dyDescent="0.25">
      <c r="A57" s="2">
        <v>-23</v>
      </c>
      <c r="B57" s="1" t="s">
        <v>7</v>
      </c>
      <c r="C57" s="1" t="s">
        <v>8</v>
      </c>
      <c r="D57" s="1" t="s">
        <v>19</v>
      </c>
      <c r="E57" s="1" t="str">
        <f>_xlfn.XLOOKUP(operations[[#This Row],[Category]],categories[Category],categories[Type],"",0,1)</f>
        <v>Expense</v>
      </c>
      <c r="F57" s="3">
        <v>45371</v>
      </c>
      <c r="G57" s="1">
        <f>MONTH(operations[[#This Row],[Date]])</f>
        <v>3</v>
      </c>
    </row>
    <row r="58" spans="1:7" x14ac:dyDescent="0.25">
      <c r="A58" s="2">
        <v>-150</v>
      </c>
      <c r="B58" s="1" t="s">
        <v>7</v>
      </c>
      <c r="C58" s="1" t="s">
        <v>8</v>
      </c>
      <c r="D58" s="1" t="s">
        <v>17</v>
      </c>
      <c r="E58" s="1" t="str">
        <f>_xlfn.XLOOKUP(operations[[#This Row],[Category]],categories[Category],categories[Type],"",0,1)</f>
        <v>Expense</v>
      </c>
      <c r="F58" s="3">
        <v>45373</v>
      </c>
      <c r="G58" s="1">
        <f>MONTH(operations[[#This Row],[Date]])</f>
        <v>3</v>
      </c>
    </row>
    <row r="59" spans="1:7" x14ac:dyDescent="0.25">
      <c r="A59" s="2">
        <v>-300</v>
      </c>
      <c r="B59" s="1" t="s">
        <v>7</v>
      </c>
      <c r="C59" s="1" t="s">
        <v>8</v>
      </c>
      <c r="D59" s="1" t="s">
        <v>24</v>
      </c>
      <c r="E59" s="1" t="str">
        <f>_xlfn.XLOOKUP(operations[[#This Row],[Category]],categories[Category],categories[Type],"",0,1)</f>
        <v>Expense</v>
      </c>
      <c r="F59" s="3">
        <v>45375</v>
      </c>
      <c r="G59" s="1">
        <f>MONTH(operations[[#This Row],[Date]])</f>
        <v>3</v>
      </c>
    </row>
    <row r="60" spans="1:7" x14ac:dyDescent="0.25">
      <c r="A60" s="2">
        <v>5</v>
      </c>
      <c r="B60" s="1" t="s">
        <v>11</v>
      </c>
      <c r="C60" s="1" t="s">
        <v>12</v>
      </c>
      <c r="D60" s="1" t="s">
        <v>29</v>
      </c>
      <c r="E60" s="1" t="str">
        <f>_xlfn.XLOOKUP(operations[[#This Row],[Category]],categories[Category],categories[Type],"",0,1)</f>
        <v>Income</v>
      </c>
      <c r="F60" s="3">
        <v>45377</v>
      </c>
      <c r="G60" s="1">
        <f>MONTH(operations[[#This Row],[Date]])</f>
        <v>3</v>
      </c>
    </row>
    <row r="61" spans="1:7" x14ac:dyDescent="0.25">
      <c r="A61" s="2">
        <v>-79.5</v>
      </c>
      <c r="B61" s="1" t="s">
        <v>7</v>
      </c>
      <c r="C61" s="1" t="s">
        <v>9</v>
      </c>
      <c r="D61" s="1" t="s">
        <v>23</v>
      </c>
      <c r="E61" s="1" t="str">
        <f>_xlfn.XLOOKUP(operations[[#This Row],[Category]],categories[Category],categories[Type],"",0,1)</f>
        <v>Expense</v>
      </c>
      <c r="F61" s="3">
        <v>45379</v>
      </c>
      <c r="G61" s="1">
        <f>MONTH(operations[[#This Row],[Date]])</f>
        <v>3</v>
      </c>
    </row>
    <row r="62" spans="1:7" x14ac:dyDescent="0.25">
      <c r="A62" s="2">
        <v>-200</v>
      </c>
      <c r="B62" s="1" t="s">
        <v>7</v>
      </c>
      <c r="C62" s="1" t="s">
        <v>8</v>
      </c>
      <c r="D62" s="1" t="s">
        <v>17</v>
      </c>
      <c r="E62" s="1" t="str">
        <f>_xlfn.XLOOKUP(operations[[#This Row],[Category]],categories[Category],categories[Type],"",0,1)</f>
        <v>Expense</v>
      </c>
      <c r="F62" s="3">
        <v>45381</v>
      </c>
      <c r="G62" s="1">
        <f>MONTH(operations[[#This Row],[Date]])</f>
        <v>3</v>
      </c>
    </row>
    <row r="63" spans="1:7" x14ac:dyDescent="0.25">
      <c r="A63" s="2">
        <v>-23.5</v>
      </c>
      <c r="B63" s="1" t="s">
        <v>7</v>
      </c>
      <c r="C63" s="1" t="s">
        <v>9</v>
      </c>
      <c r="D63" s="1" t="s">
        <v>21</v>
      </c>
      <c r="E63" s="1" t="str">
        <f>_xlfn.XLOOKUP(operations[[#This Row],[Category]],categories[Category],categories[Type],"",0,1)</f>
        <v>Expense</v>
      </c>
      <c r="F63" s="3">
        <v>45383</v>
      </c>
      <c r="G63" s="1">
        <f>MONTH(operations[[#This Row],[Date]])</f>
        <v>4</v>
      </c>
    </row>
    <row r="64" spans="1:7" x14ac:dyDescent="0.25">
      <c r="A64" s="2">
        <v>-82.5</v>
      </c>
      <c r="B64" s="1" t="s">
        <v>7</v>
      </c>
      <c r="C64" s="1" t="s">
        <v>8</v>
      </c>
      <c r="D64" s="1" t="s">
        <v>16</v>
      </c>
      <c r="E64" s="1" t="str">
        <f>_xlfn.XLOOKUP(operations[[#This Row],[Category]],categories[Category],categories[Type],"",0,1)</f>
        <v>Expense</v>
      </c>
      <c r="F64" s="3">
        <v>45384</v>
      </c>
      <c r="G64" s="1">
        <f>MONTH(operations[[#This Row],[Date]])</f>
        <v>4</v>
      </c>
    </row>
    <row r="65" spans="1:7" x14ac:dyDescent="0.25">
      <c r="A65" s="2">
        <v>150</v>
      </c>
      <c r="B65" s="1" t="s">
        <v>11</v>
      </c>
      <c r="C65" s="1" t="s">
        <v>8</v>
      </c>
      <c r="D65" s="1" t="s">
        <v>28</v>
      </c>
      <c r="E65" s="1" t="str">
        <f>_xlfn.XLOOKUP(operations[[#This Row],[Category]],categories[Category],categories[Type],"",0,1)</f>
        <v>Income</v>
      </c>
      <c r="F65" s="3">
        <v>45388</v>
      </c>
      <c r="G65" s="1">
        <f>MONTH(operations[[#This Row],[Date]])</f>
        <v>4</v>
      </c>
    </row>
    <row r="66" spans="1:7" x14ac:dyDescent="0.25">
      <c r="A66" s="2">
        <v>-99.97</v>
      </c>
      <c r="B66" s="1" t="s">
        <v>7</v>
      </c>
      <c r="C66" s="1" t="s">
        <v>8</v>
      </c>
      <c r="D66" s="1" t="s">
        <v>17</v>
      </c>
      <c r="E66" s="1" t="str">
        <f>_xlfn.XLOOKUP(operations[[#This Row],[Category]],categories[Category],categories[Type],"",0,1)</f>
        <v>Expense</v>
      </c>
      <c r="F66" s="3">
        <v>45389</v>
      </c>
      <c r="G66" s="1">
        <f>MONTH(operations[[#This Row],[Date]])</f>
        <v>4</v>
      </c>
    </row>
    <row r="67" spans="1:7" x14ac:dyDescent="0.25">
      <c r="A67" s="2">
        <v>4500</v>
      </c>
      <c r="B67" s="1" t="s">
        <v>7</v>
      </c>
      <c r="C67" s="1" t="s">
        <v>8</v>
      </c>
      <c r="D67" s="1" t="s">
        <v>26</v>
      </c>
      <c r="E67" s="1" t="str">
        <f>_xlfn.XLOOKUP(operations[[#This Row],[Category]],categories[Category],categories[Type],"",0,1)</f>
        <v>Income</v>
      </c>
      <c r="F67" s="3">
        <v>45392</v>
      </c>
      <c r="G67" s="1">
        <f>MONTH(operations[[#This Row],[Date]])</f>
        <v>4</v>
      </c>
    </row>
    <row r="68" spans="1:7" x14ac:dyDescent="0.25">
      <c r="A68" s="2">
        <v>-2000</v>
      </c>
      <c r="B68" s="1" t="s">
        <v>7</v>
      </c>
      <c r="C68" s="1" t="s">
        <v>8</v>
      </c>
      <c r="D68" s="1" t="s">
        <v>18</v>
      </c>
      <c r="E68" s="1" t="str">
        <f>_xlfn.XLOOKUP(operations[[#This Row],[Category]],categories[Category],categories[Type],"",0,1)</f>
        <v>Expense</v>
      </c>
      <c r="F68" s="3">
        <v>45393</v>
      </c>
      <c r="G68" s="1">
        <f>MONTH(operations[[#This Row],[Date]])</f>
        <v>4</v>
      </c>
    </row>
    <row r="69" spans="1:7" x14ac:dyDescent="0.25">
      <c r="A69" s="2">
        <v>-149</v>
      </c>
      <c r="B69" s="1" t="s">
        <v>7</v>
      </c>
      <c r="C69" s="1" t="s">
        <v>8</v>
      </c>
      <c r="D69" s="1" t="s">
        <v>22</v>
      </c>
      <c r="E69" s="1" t="str">
        <f>_xlfn.XLOOKUP(operations[[#This Row],[Category]],categories[Category],categories[Type],"",0,1)</f>
        <v>Expense</v>
      </c>
      <c r="F69" s="3">
        <v>45395</v>
      </c>
      <c r="G69" s="1">
        <f>MONTH(operations[[#This Row],[Date]])</f>
        <v>4</v>
      </c>
    </row>
    <row r="70" spans="1:7" x14ac:dyDescent="0.25">
      <c r="A70" s="2">
        <v>104.5</v>
      </c>
      <c r="B70" s="1" t="s">
        <v>7</v>
      </c>
      <c r="C70" s="1" t="s">
        <v>9</v>
      </c>
      <c r="D70" s="1" t="s">
        <v>31</v>
      </c>
      <c r="E70" s="1" t="str">
        <f>_xlfn.XLOOKUP(operations[[#This Row],[Category]],categories[Category],categories[Type],"",0,1)</f>
        <v>Transfer</v>
      </c>
      <c r="F70" s="3">
        <v>45397</v>
      </c>
      <c r="G70" s="1">
        <f>MONTH(operations[[#This Row],[Date]])</f>
        <v>4</v>
      </c>
    </row>
    <row r="71" spans="1:7" x14ac:dyDescent="0.25">
      <c r="A71" s="2">
        <v>-104.5</v>
      </c>
      <c r="B71" s="1" t="s">
        <v>7</v>
      </c>
      <c r="C71" s="1" t="s">
        <v>8</v>
      </c>
      <c r="D71" s="1" t="s">
        <v>31</v>
      </c>
      <c r="E71" s="1" t="str">
        <f>_xlfn.XLOOKUP(operations[[#This Row],[Category]],categories[Category],categories[Type],"",0,1)</f>
        <v>Transfer</v>
      </c>
      <c r="F71" s="3">
        <v>45397</v>
      </c>
      <c r="G71" s="1">
        <f>MONTH(operations[[#This Row],[Date]])</f>
        <v>4</v>
      </c>
    </row>
    <row r="72" spans="1:7" x14ac:dyDescent="0.25">
      <c r="A72" s="2">
        <v>-49</v>
      </c>
      <c r="B72" s="1" t="s">
        <v>11</v>
      </c>
      <c r="C72" s="1" t="s">
        <v>8</v>
      </c>
      <c r="D72" s="1" t="s">
        <v>19</v>
      </c>
      <c r="E72" s="1" t="str">
        <f>_xlfn.XLOOKUP(operations[[#This Row],[Category]],categories[Category],categories[Type],"",0,1)</f>
        <v>Expense</v>
      </c>
      <c r="F72" s="3">
        <v>45397</v>
      </c>
      <c r="G72" s="1">
        <f>MONTH(operations[[#This Row],[Date]])</f>
        <v>4</v>
      </c>
    </row>
    <row r="73" spans="1:7" x14ac:dyDescent="0.25">
      <c r="A73" s="2">
        <v>-9.99</v>
      </c>
      <c r="B73" s="1" t="s">
        <v>7</v>
      </c>
      <c r="C73" s="1" t="s">
        <v>9</v>
      </c>
      <c r="D73" s="1" t="s">
        <v>17</v>
      </c>
      <c r="E73" s="1" t="str">
        <f>_xlfn.XLOOKUP(operations[[#This Row],[Category]],categories[Category],categories[Type],"",0,1)</f>
        <v>Expense</v>
      </c>
      <c r="F73" s="3">
        <v>45398</v>
      </c>
      <c r="G73" s="1">
        <f>MONTH(operations[[#This Row],[Date]])</f>
        <v>4</v>
      </c>
    </row>
    <row r="74" spans="1:7" x14ac:dyDescent="0.25">
      <c r="A74" s="2">
        <v>-100</v>
      </c>
      <c r="B74" s="1" t="s">
        <v>7</v>
      </c>
      <c r="C74" s="1" t="s">
        <v>8</v>
      </c>
      <c r="D74" s="1" t="s">
        <v>24</v>
      </c>
      <c r="E74" s="1" t="str">
        <f>_xlfn.XLOOKUP(operations[[#This Row],[Category]],categories[Category],categories[Type],"",0,1)</f>
        <v>Expense</v>
      </c>
      <c r="F74" s="3">
        <v>45399</v>
      </c>
      <c r="G74" s="1">
        <f>MONTH(operations[[#This Row],[Date]])</f>
        <v>4</v>
      </c>
    </row>
    <row r="75" spans="1:7" x14ac:dyDescent="0.25">
      <c r="A75" s="2">
        <v>-57.9</v>
      </c>
      <c r="B75" s="1" t="s">
        <v>7</v>
      </c>
      <c r="C75" s="1" t="s">
        <v>9</v>
      </c>
      <c r="D75" s="1" t="s">
        <v>20</v>
      </c>
      <c r="E75" s="1" t="str">
        <f>_xlfn.XLOOKUP(operations[[#This Row],[Category]],categories[Category],categories[Type],"",0,1)</f>
        <v>Expense</v>
      </c>
      <c r="F75" s="3">
        <v>45401</v>
      </c>
      <c r="G75" s="1">
        <f>MONTH(operations[[#This Row],[Date]])</f>
        <v>4</v>
      </c>
    </row>
    <row r="76" spans="1:7" x14ac:dyDescent="0.25">
      <c r="A76" s="2">
        <v>-159.9</v>
      </c>
      <c r="B76" s="1" t="s">
        <v>7</v>
      </c>
      <c r="C76" s="1" t="s">
        <v>8</v>
      </c>
      <c r="D76" s="1" t="s">
        <v>17</v>
      </c>
      <c r="E76" s="1" t="str">
        <f>_xlfn.XLOOKUP(operations[[#This Row],[Category]],categories[Category],categories[Type],"",0,1)</f>
        <v>Expense</v>
      </c>
      <c r="F76" s="3">
        <v>45403</v>
      </c>
      <c r="G76" s="1">
        <f>MONTH(operations[[#This Row],[Date]])</f>
        <v>4</v>
      </c>
    </row>
    <row r="77" spans="1:7" x14ac:dyDescent="0.25">
      <c r="A77" s="2">
        <v>-1000</v>
      </c>
      <c r="B77" s="1" t="s">
        <v>7</v>
      </c>
      <c r="C77" s="1" t="s">
        <v>8</v>
      </c>
      <c r="D77" s="1" t="s">
        <v>20</v>
      </c>
      <c r="E77" s="1" t="str">
        <f>_xlfn.XLOOKUP(operations[[#This Row],[Category]],categories[Category],categories[Type],"",0,1)</f>
        <v>Expense</v>
      </c>
      <c r="F77" s="3">
        <v>45405</v>
      </c>
      <c r="G77" s="1">
        <f>MONTH(operations[[#This Row],[Date]])</f>
        <v>4</v>
      </c>
    </row>
    <row r="78" spans="1:7" x14ac:dyDescent="0.25">
      <c r="A78" s="2">
        <v>50</v>
      </c>
      <c r="B78" s="1" t="s">
        <v>11</v>
      </c>
      <c r="C78" s="1" t="s">
        <v>12</v>
      </c>
      <c r="D78" s="1" t="s">
        <v>29</v>
      </c>
      <c r="E78" s="1" t="str">
        <f>_xlfn.XLOOKUP(operations[[#This Row],[Category]],categories[Category],categories[Type],"",0,1)</f>
        <v>Income</v>
      </c>
      <c r="F78" s="3">
        <v>45407</v>
      </c>
      <c r="G78" s="1">
        <f>MONTH(operations[[#This Row],[Date]])</f>
        <v>4</v>
      </c>
    </row>
    <row r="79" spans="1:7" x14ac:dyDescent="0.25">
      <c r="A79" s="2">
        <v>-69.900000000000006</v>
      </c>
      <c r="B79" s="1" t="s">
        <v>7</v>
      </c>
      <c r="C79" s="1" t="s">
        <v>8</v>
      </c>
      <c r="D79" s="1" t="s">
        <v>17</v>
      </c>
      <c r="E79" s="1" t="str">
        <f>_xlfn.XLOOKUP(operations[[#This Row],[Category]],categories[Category],categories[Type],"",0,1)</f>
        <v>Expense</v>
      </c>
      <c r="F79" s="3">
        <v>45409</v>
      </c>
      <c r="G79" s="1">
        <f>MONTH(operations[[#This Row],[Date]])</f>
        <v>4</v>
      </c>
    </row>
    <row r="80" spans="1:7" x14ac:dyDescent="0.25">
      <c r="A80" s="2">
        <v>-32.5</v>
      </c>
      <c r="B80" s="1" t="s">
        <v>7</v>
      </c>
      <c r="C80" s="1" t="s">
        <v>8</v>
      </c>
      <c r="D80" s="1" t="s">
        <v>17</v>
      </c>
      <c r="E80" s="1" t="str">
        <f>_xlfn.XLOOKUP(operations[[#This Row],[Category]],categories[Category],categories[Type],"",0,1)</f>
        <v>Expense</v>
      </c>
      <c r="F80" s="3">
        <v>45410</v>
      </c>
      <c r="G80" s="1">
        <f>MONTH(operations[[#This Row],[Date]])</f>
        <v>4</v>
      </c>
    </row>
    <row r="81" spans="1:7" x14ac:dyDescent="0.25">
      <c r="A81" s="2">
        <v>-139</v>
      </c>
      <c r="B81" s="1" t="s">
        <v>7</v>
      </c>
      <c r="C81" s="1" t="s">
        <v>8</v>
      </c>
      <c r="D81" s="1" t="s">
        <v>23</v>
      </c>
      <c r="E81" s="1" t="str">
        <f>_xlfn.XLOOKUP(operations[[#This Row],[Category]],categories[Category],categories[Type],"",0,1)</f>
        <v>Expense</v>
      </c>
      <c r="F81" s="3">
        <v>45411</v>
      </c>
      <c r="G81" s="1">
        <f>MONTH(operations[[#This Row],[Date]])</f>
        <v>4</v>
      </c>
    </row>
    <row r="82" spans="1:7" x14ac:dyDescent="0.25">
      <c r="A82" s="2">
        <v>-250</v>
      </c>
      <c r="B82" s="1" t="s">
        <v>7</v>
      </c>
      <c r="C82" s="1" t="s">
        <v>9</v>
      </c>
      <c r="D82" s="1" t="s">
        <v>17</v>
      </c>
      <c r="E82" s="1" t="str">
        <f>_xlfn.XLOOKUP(operations[[#This Row],[Category]],categories[Category],categories[Type],"",0,1)</f>
        <v>Expense</v>
      </c>
      <c r="F82" s="3">
        <v>45419</v>
      </c>
      <c r="G82" s="1">
        <f>MONTH(operations[[#This Row],[Date]])</f>
        <v>5</v>
      </c>
    </row>
    <row r="83" spans="1:7" x14ac:dyDescent="0.25">
      <c r="A83" s="2">
        <v>-80</v>
      </c>
      <c r="B83" s="1" t="s">
        <v>7</v>
      </c>
      <c r="C83" s="1" t="s">
        <v>8</v>
      </c>
      <c r="D83" s="1" t="s">
        <v>16</v>
      </c>
      <c r="E83" s="1" t="str">
        <f>_xlfn.XLOOKUP(operations[[#This Row],[Category]],categories[Category],categories[Type],"",0,1)</f>
        <v>Expense</v>
      </c>
      <c r="F83" s="3">
        <v>45422</v>
      </c>
      <c r="G83" s="1">
        <f>MONTH(operations[[#This Row],[Date]])</f>
        <v>5</v>
      </c>
    </row>
    <row r="84" spans="1:7" x14ac:dyDescent="0.25">
      <c r="A84" s="2">
        <v>4500</v>
      </c>
      <c r="B84" s="1" t="s">
        <v>7</v>
      </c>
      <c r="C84" s="1" t="s">
        <v>8</v>
      </c>
      <c r="D84" s="1" t="s">
        <v>26</v>
      </c>
      <c r="E84" s="1" t="str">
        <f>_xlfn.XLOOKUP(operations[[#This Row],[Category]],categories[Category],categories[Type],"",0,1)</f>
        <v>Income</v>
      </c>
      <c r="F84" s="3">
        <v>45422</v>
      </c>
      <c r="G84" s="1">
        <f>MONTH(operations[[#This Row],[Date]])</f>
        <v>5</v>
      </c>
    </row>
    <row r="85" spans="1:7" x14ac:dyDescent="0.25">
      <c r="A85" s="2">
        <v>-2000</v>
      </c>
      <c r="B85" s="1" t="s">
        <v>7</v>
      </c>
      <c r="C85" s="1" t="s">
        <v>8</v>
      </c>
      <c r="D85" s="1" t="s">
        <v>18</v>
      </c>
      <c r="E85" s="1" t="str">
        <f>_xlfn.XLOOKUP(operations[[#This Row],[Category]],categories[Category],categories[Type],"",0,1)</f>
        <v>Expense</v>
      </c>
      <c r="F85" s="3">
        <v>45423</v>
      </c>
      <c r="G85" s="1">
        <f>MONTH(operations[[#This Row],[Date]])</f>
        <v>5</v>
      </c>
    </row>
    <row r="86" spans="1:7" x14ac:dyDescent="0.25">
      <c r="A86" s="2">
        <v>-250</v>
      </c>
      <c r="B86" s="1" t="s">
        <v>7</v>
      </c>
      <c r="C86" s="1" t="s">
        <v>9</v>
      </c>
      <c r="D86" s="1" t="s">
        <v>17</v>
      </c>
      <c r="E86" s="1" t="str">
        <f>_xlfn.XLOOKUP(operations[[#This Row],[Category]],categories[Category],categories[Type],"",0,1)</f>
        <v>Expense</v>
      </c>
      <c r="F86" s="3">
        <v>45426</v>
      </c>
      <c r="G86" s="1">
        <f>MONTH(operations[[#This Row],[Date]])</f>
        <v>5</v>
      </c>
    </row>
    <row r="87" spans="1:7" x14ac:dyDescent="0.25">
      <c r="A87" s="2">
        <v>91.39</v>
      </c>
      <c r="B87" s="1" t="s">
        <v>7</v>
      </c>
      <c r="C87" s="1" t="s">
        <v>9</v>
      </c>
      <c r="D87" s="1" t="s">
        <v>31</v>
      </c>
      <c r="E87" s="1" t="str">
        <f>_xlfn.XLOOKUP(operations[[#This Row],[Category]],categories[Category],categories[Type],"",0,1)</f>
        <v>Transfer</v>
      </c>
      <c r="F87" s="3">
        <v>45427</v>
      </c>
      <c r="G87" s="1">
        <f>MONTH(operations[[#This Row],[Date]])</f>
        <v>5</v>
      </c>
    </row>
    <row r="88" spans="1:7" x14ac:dyDescent="0.25">
      <c r="A88" s="2">
        <v>-91.39</v>
      </c>
      <c r="B88" s="1" t="s">
        <v>7</v>
      </c>
      <c r="C88" s="1" t="s">
        <v>8</v>
      </c>
      <c r="D88" s="1" t="s">
        <v>31</v>
      </c>
      <c r="E88" s="1" t="str">
        <f>_xlfn.XLOOKUP(operations[[#This Row],[Category]],categories[Category],categories[Type],"",0,1)</f>
        <v>Transfer</v>
      </c>
      <c r="F88" s="3">
        <v>45427</v>
      </c>
      <c r="G88" s="1">
        <f>MONTH(operations[[#This Row],[Date]])</f>
        <v>5</v>
      </c>
    </row>
    <row r="89" spans="1:7" x14ac:dyDescent="0.25">
      <c r="A89" s="2">
        <v>-250</v>
      </c>
      <c r="B89" s="1" t="s">
        <v>7</v>
      </c>
      <c r="C89" s="1" t="s">
        <v>9</v>
      </c>
      <c r="D89" s="1" t="s">
        <v>17</v>
      </c>
      <c r="E89" s="1" t="str">
        <f>_xlfn.XLOOKUP(operations[[#This Row],[Category]],categories[Category],categories[Type],"",0,1)</f>
        <v>Expense</v>
      </c>
      <c r="F89" s="3">
        <v>45433</v>
      </c>
      <c r="G89" s="1">
        <f>MONTH(operations[[#This Row],[Date]])</f>
        <v>5</v>
      </c>
    </row>
    <row r="90" spans="1:7" x14ac:dyDescent="0.25">
      <c r="A90" s="2">
        <v>-250</v>
      </c>
      <c r="B90" s="1" t="s">
        <v>7</v>
      </c>
      <c r="C90" s="1" t="s">
        <v>9</v>
      </c>
      <c r="D90" s="1" t="s">
        <v>17</v>
      </c>
      <c r="E90" s="1" t="str">
        <f>_xlfn.XLOOKUP(operations[[#This Row],[Category]],categories[Category],categories[Type],"",0,1)</f>
        <v>Expense</v>
      </c>
      <c r="F90" s="3">
        <v>45440</v>
      </c>
      <c r="G90" s="1">
        <f>MONTH(operations[[#This Row],[Date]])</f>
        <v>5</v>
      </c>
    </row>
    <row r="91" spans="1:7" x14ac:dyDescent="0.25">
      <c r="A91" s="2">
        <v>-50</v>
      </c>
      <c r="B91" s="1" t="s">
        <v>11</v>
      </c>
      <c r="C91" s="1" t="s">
        <v>8</v>
      </c>
      <c r="D91" s="1" t="s">
        <v>19</v>
      </c>
      <c r="E91" s="1" t="str">
        <f>_xlfn.XLOOKUP(operations[[#This Row],[Category]],categories[Category],categories[Type],"",0,1)</f>
        <v>Expense</v>
      </c>
      <c r="F91" s="3">
        <v>45441</v>
      </c>
      <c r="G91" s="1">
        <f>MONTH(operations[[#This Row],[Date]])</f>
        <v>5</v>
      </c>
    </row>
    <row r="92" spans="1:7" x14ac:dyDescent="0.25">
      <c r="A92" s="2">
        <v>-80</v>
      </c>
      <c r="B92" s="1" t="s">
        <v>13</v>
      </c>
      <c r="C92" s="1" t="s">
        <v>14</v>
      </c>
      <c r="D92" s="1" t="s">
        <v>20</v>
      </c>
      <c r="E92" s="1" t="str">
        <f>_xlfn.XLOOKUP(operations[[#This Row],[Category]],categories[Category],categories[Type],"",0,1)</f>
        <v>Expense</v>
      </c>
      <c r="F92" s="3">
        <v>45442</v>
      </c>
      <c r="G92" s="1">
        <f>MONTH(operations[[#This Row],[Date]])</f>
        <v>5</v>
      </c>
    </row>
    <row r="93" spans="1:7" x14ac:dyDescent="0.25">
      <c r="A93" s="2">
        <v>-250</v>
      </c>
      <c r="B93" s="1" t="s">
        <v>7</v>
      </c>
      <c r="C93" s="1" t="s">
        <v>9</v>
      </c>
      <c r="D93" s="1" t="s">
        <v>17</v>
      </c>
      <c r="E93" s="1" t="str">
        <f>_xlfn.XLOOKUP(operations[[#This Row],[Category]],categories[Category],categories[Type],"",0,1)</f>
        <v>Expense</v>
      </c>
      <c r="F93" s="3">
        <v>45450</v>
      </c>
      <c r="G93" s="1">
        <f>MONTH(operations[[#This Row],[Date]])</f>
        <v>6</v>
      </c>
    </row>
    <row r="94" spans="1:7" x14ac:dyDescent="0.25">
      <c r="A94" s="2">
        <v>-80</v>
      </c>
      <c r="B94" s="1" t="s">
        <v>7</v>
      </c>
      <c r="C94" s="1" t="s">
        <v>8</v>
      </c>
      <c r="D94" s="1" t="s">
        <v>16</v>
      </c>
      <c r="E94" s="1" t="str">
        <f>_xlfn.XLOOKUP(operations[[#This Row],[Category]],categories[Category],categories[Type],"",0,1)</f>
        <v>Expense</v>
      </c>
      <c r="F94" s="3">
        <v>45453</v>
      </c>
      <c r="G94" s="1">
        <f>MONTH(operations[[#This Row],[Date]])</f>
        <v>6</v>
      </c>
    </row>
    <row r="95" spans="1:7" x14ac:dyDescent="0.25">
      <c r="A95" s="2">
        <v>4500</v>
      </c>
      <c r="B95" s="1" t="s">
        <v>7</v>
      </c>
      <c r="C95" s="1" t="s">
        <v>8</v>
      </c>
      <c r="D95" s="1" t="s">
        <v>26</v>
      </c>
      <c r="E95" s="1" t="str">
        <f>_xlfn.XLOOKUP(operations[[#This Row],[Category]],categories[Category],categories[Type],"",0,1)</f>
        <v>Income</v>
      </c>
      <c r="F95" s="3">
        <v>45453</v>
      </c>
      <c r="G95" s="1">
        <f>MONTH(operations[[#This Row],[Date]])</f>
        <v>6</v>
      </c>
    </row>
    <row r="96" spans="1:7" x14ac:dyDescent="0.25">
      <c r="A96" s="2">
        <v>-2000</v>
      </c>
      <c r="B96" s="1" t="s">
        <v>7</v>
      </c>
      <c r="C96" s="1" t="s">
        <v>8</v>
      </c>
      <c r="D96" s="1" t="s">
        <v>18</v>
      </c>
      <c r="E96" s="1" t="str">
        <f>_xlfn.XLOOKUP(operations[[#This Row],[Category]],categories[Category],categories[Type],"",0,1)</f>
        <v>Expense</v>
      </c>
      <c r="F96" s="3">
        <v>45454</v>
      </c>
      <c r="G96" s="1">
        <f>MONTH(operations[[#This Row],[Date]])</f>
        <v>6</v>
      </c>
    </row>
    <row r="97" spans="1:7" x14ac:dyDescent="0.25">
      <c r="A97" s="2">
        <v>-250</v>
      </c>
      <c r="B97" s="1" t="s">
        <v>7</v>
      </c>
      <c r="C97" s="1" t="s">
        <v>9</v>
      </c>
      <c r="D97" s="1" t="s">
        <v>17</v>
      </c>
      <c r="E97" s="1" t="str">
        <f>_xlfn.XLOOKUP(operations[[#This Row],[Category]],categories[Category],categories[Type],"",0,1)</f>
        <v>Expense</v>
      </c>
      <c r="F97" s="3">
        <v>45457</v>
      </c>
      <c r="G97" s="1">
        <f>MONTH(operations[[#This Row],[Date]])</f>
        <v>6</v>
      </c>
    </row>
    <row r="98" spans="1:7" x14ac:dyDescent="0.25">
      <c r="A98" s="2">
        <v>1000</v>
      </c>
      <c r="B98" s="1" t="s">
        <v>7</v>
      </c>
      <c r="C98" s="1" t="s">
        <v>9</v>
      </c>
      <c r="D98" s="1" t="s">
        <v>31</v>
      </c>
      <c r="E98" s="1" t="str">
        <f>_xlfn.XLOOKUP(operations[[#This Row],[Category]],categories[Category],categories[Type],"",0,1)</f>
        <v>Transfer</v>
      </c>
      <c r="F98" s="3">
        <v>45458</v>
      </c>
      <c r="G98" s="1">
        <f>MONTH(operations[[#This Row],[Date]])</f>
        <v>6</v>
      </c>
    </row>
    <row r="99" spans="1:7" x14ac:dyDescent="0.25">
      <c r="A99" s="2">
        <v>-1000</v>
      </c>
      <c r="B99" s="1" t="s">
        <v>7</v>
      </c>
      <c r="C99" s="1" t="s">
        <v>8</v>
      </c>
      <c r="D99" s="1" t="s">
        <v>31</v>
      </c>
      <c r="E99" s="1" t="str">
        <f>_xlfn.XLOOKUP(operations[[#This Row],[Category]],categories[Category],categories[Type],"",0,1)</f>
        <v>Transfer</v>
      </c>
      <c r="F99" s="3">
        <v>45458</v>
      </c>
      <c r="G99" s="1">
        <f>MONTH(operations[[#This Row],[Date]])</f>
        <v>6</v>
      </c>
    </row>
    <row r="100" spans="1:7" x14ac:dyDescent="0.25">
      <c r="A100" s="2">
        <v>-100</v>
      </c>
      <c r="B100" s="1" t="s">
        <v>11</v>
      </c>
      <c r="C100" s="1" t="s">
        <v>8</v>
      </c>
      <c r="D100" s="1" t="s">
        <v>21</v>
      </c>
      <c r="E100" s="1" t="str">
        <f>_xlfn.XLOOKUP(operations[[#This Row],[Category]],categories[Category],categories[Type],"",0,1)</f>
        <v>Expense</v>
      </c>
      <c r="F100" s="3">
        <v>45458</v>
      </c>
      <c r="G100" s="1">
        <f>MONTH(operations[[#This Row],[Date]])</f>
        <v>6</v>
      </c>
    </row>
    <row r="101" spans="1:7" x14ac:dyDescent="0.25">
      <c r="A101" s="2">
        <v>-250</v>
      </c>
      <c r="B101" s="1" t="s">
        <v>7</v>
      </c>
      <c r="C101" s="1" t="s">
        <v>9</v>
      </c>
      <c r="D101" s="1" t="s">
        <v>17</v>
      </c>
      <c r="E101" s="1" t="str">
        <f>_xlfn.XLOOKUP(operations[[#This Row],[Category]],categories[Category],categories[Type],"",0,1)</f>
        <v>Expense</v>
      </c>
      <c r="F101" s="3">
        <v>45464</v>
      </c>
      <c r="G101" s="1">
        <f>MONTH(operations[[#This Row],[Date]])</f>
        <v>6</v>
      </c>
    </row>
    <row r="102" spans="1:7" x14ac:dyDescent="0.25">
      <c r="A102" s="2">
        <v>-250</v>
      </c>
      <c r="B102" s="1" t="s">
        <v>7</v>
      </c>
      <c r="C102" s="1" t="s">
        <v>9</v>
      </c>
      <c r="D102" s="1" t="s">
        <v>17</v>
      </c>
      <c r="E102" s="1" t="str">
        <f>_xlfn.XLOOKUP(operations[[#This Row],[Category]],categories[Category],categories[Type],"",0,1)</f>
        <v>Expense</v>
      </c>
      <c r="F102" s="3">
        <v>45471</v>
      </c>
      <c r="G102" s="1">
        <f>MONTH(operations[[#This Row],[Date]])</f>
        <v>6</v>
      </c>
    </row>
    <row r="103" spans="1:7" x14ac:dyDescent="0.25">
      <c r="A103" s="2">
        <v>-300</v>
      </c>
      <c r="B103" s="1" t="s">
        <v>7</v>
      </c>
      <c r="C103" s="1" t="s">
        <v>9</v>
      </c>
      <c r="D103" s="1" t="s">
        <v>22</v>
      </c>
      <c r="E103" s="1" t="str">
        <f>_xlfn.XLOOKUP(operations[[#This Row],[Category]],categories[Category],categories[Type],"",0,1)</f>
        <v>Expense</v>
      </c>
      <c r="F103" s="3">
        <v>45471</v>
      </c>
      <c r="G103" s="1">
        <f>MONTH(operations[[#This Row],[Date]])</f>
        <v>6</v>
      </c>
    </row>
    <row r="104" spans="1:7" x14ac:dyDescent="0.25">
      <c r="A104" s="2">
        <v>-50</v>
      </c>
      <c r="B104" s="1" t="s">
        <v>11</v>
      </c>
      <c r="C104" s="1" t="s">
        <v>8</v>
      </c>
      <c r="D104" s="1" t="s">
        <v>19</v>
      </c>
      <c r="E104" s="1" t="str">
        <f>_xlfn.XLOOKUP(operations[[#This Row],[Category]],categories[Category],categories[Type],"",0,1)</f>
        <v>Expense</v>
      </c>
      <c r="F104" s="3">
        <v>45472</v>
      </c>
      <c r="G104" s="1">
        <f>MONTH(operations[[#This Row],[Date]])</f>
        <v>6</v>
      </c>
    </row>
    <row r="105" spans="1:7" x14ac:dyDescent="0.25">
      <c r="A105" s="2">
        <v>400</v>
      </c>
      <c r="B105" s="1" t="s">
        <v>11</v>
      </c>
      <c r="C105" s="1" t="s">
        <v>8</v>
      </c>
      <c r="D105" s="1" t="s">
        <v>25</v>
      </c>
      <c r="E105" s="1" t="str">
        <f>_xlfn.XLOOKUP(operations[[#This Row],[Category]],categories[Category],categories[Type],"",0,1)</f>
        <v>Income</v>
      </c>
      <c r="F105" s="3">
        <v>45472</v>
      </c>
      <c r="G105" s="1">
        <f>MONTH(operations[[#This Row],[Date]])</f>
        <v>6</v>
      </c>
    </row>
    <row r="106" spans="1:7" x14ac:dyDescent="0.25">
      <c r="A106" s="2">
        <v>-200</v>
      </c>
      <c r="B106" s="1" t="s">
        <v>13</v>
      </c>
      <c r="C106" s="1" t="s">
        <v>14</v>
      </c>
      <c r="D106" s="1" t="s">
        <v>20</v>
      </c>
      <c r="E106" s="1" t="str">
        <f>_xlfn.XLOOKUP(operations[[#This Row],[Category]],categories[Category],categories[Type],"",0,1)</f>
        <v>Expense</v>
      </c>
      <c r="F106" s="3">
        <v>45473</v>
      </c>
      <c r="G106" s="1">
        <f>MONTH(operations[[#This Row],[Date]])</f>
        <v>6</v>
      </c>
    </row>
    <row r="107" spans="1:7" x14ac:dyDescent="0.25">
      <c r="A107" s="2">
        <v>-30</v>
      </c>
      <c r="B107" s="1" t="s">
        <v>13</v>
      </c>
      <c r="C107" s="1" t="s">
        <v>15</v>
      </c>
      <c r="D107" s="1" t="s">
        <v>17</v>
      </c>
      <c r="E107" s="1" t="str">
        <f>_xlfn.XLOOKUP(operations[[#This Row],[Category]],categories[Category],categories[Type],"",0,1)</f>
        <v>Expense</v>
      </c>
      <c r="F107" s="3">
        <v>45476</v>
      </c>
      <c r="G107" s="1">
        <f>MONTH(operations[[#This Row],[Date]])</f>
        <v>7</v>
      </c>
    </row>
    <row r="108" spans="1:7" x14ac:dyDescent="0.25">
      <c r="A108" s="2">
        <v>-100</v>
      </c>
      <c r="B108" s="1" t="s">
        <v>7</v>
      </c>
      <c r="C108" s="1" t="s">
        <v>8</v>
      </c>
      <c r="D108" s="1" t="s">
        <v>20</v>
      </c>
      <c r="E108" s="1" t="str">
        <f>_xlfn.XLOOKUP(operations[[#This Row],[Category]],categories[Category],categories[Type],"",0,1)</f>
        <v>Expense</v>
      </c>
      <c r="F108" s="3">
        <v>45480</v>
      </c>
      <c r="G108" s="1">
        <f>MONTH(operations[[#This Row],[Date]])</f>
        <v>7</v>
      </c>
    </row>
    <row r="109" spans="1:7" x14ac:dyDescent="0.25">
      <c r="A109" s="2">
        <v>4500</v>
      </c>
      <c r="B109" s="1" t="s">
        <v>7</v>
      </c>
      <c r="C109" s="1" t="s">
        <v>8</v>
      </c>
      <c r="D109" s="1" t="s">
        <v>26</v>
      </c>
      <c r="E109" s="1" t="str">
        <f>_xlfn.XLOOKUP(operations[[#This Row],[Category]],categories[Category],categories[Type],"",0,1)</f>
        <v>Income</v>
      </c>
      <c r="F109" s="3">
        <v>45483</v>
      </c>
      <c r="G109" s="1">
        <f>MONTH(operations[[#This Row],[Date]])</f>
        <v>7</v>
      </c>
    </row>
    <row r="110" spans="1:7" x14ac:dyDescent="0.25">
      <c r="A110" s="2">
        <v>-2000</v>
      </c>
      <c r="B110" s="1" t="s">
        <v>7</v>
      </c>
      <c r="C110" s="1" t="s">
        <v>8</v>
      </c>
      <c r="D110" s="1" t="s">
        <v>18</v>
      </c>
      <c r="E110" s="1" t="str">
        <f>_xlfn.XLOOKUP(operations[[#This Row],[Category]],categories[Category],categories[Type],"",0,1)</f>
        <v>Expense</v>
      </c>
      <c r="F110" s="3">
        <v>45484</v>
      </c>
      <c r="G110" s="1">
        <f>MONTH(operations[[#This Row],[Date]])</f>
        <v>7</v>
      </c>
    </row>
    <row r="111" spans="1:7" x14ac:dyDescent="0.25">
      <c r="A111" s="2">
        <v>-40</v>
      </c>
      <c r="B111" s="1" t="s">
        <v>7</v>
      </c>
      <c r="C111" s="1" t="s">
        <v>9</v>
      </c>
      <c r="D111" s="1" t="s">
        <v>17</v>
      </c>
      <c r="E111" s="1" t="str">
        <f>_xlfn.XLOOKUP(operations[[#This Row],[Category]],categories[Category],categories[Type],"",0,1)</f>
        <v>Expense</v>
      </c>
      <c r="F111" s="3">
        <v>45487</v>
      </c>
      <c r="G111" s="1">
        <f>MONTH(operations[[#This Row],[Date]])</f>
        <v>7</v>
      </c>
    </row>
    <row r="112" spans="1:7" x14ac:dyDescent="0.25">
      <c r="A112" s="2">
        <v>1300</v>
      </c>
      <c r="B112" s="1" t="s">
        <v>7</v>
      </c>
      <c r="C112" s="1" t="s">
        <v>9</v>
      </c>
      <c r="D112" s="1" t="s">
        <v>31</v>
      </c>
      <c r="E112" s="1" t="str">
        <f>_xlfn.XLOOKUP(operations[[#This Row],[Category]],categories[Category],categories[Type],"",0,1)</f>
        <v>Transfer</v>
      </c>
      <c r="F112" s="3">
        <v>45488</v>
      </c>
      <c r="G112" s="1">
        <f>MONTH(operations[[#This Row],[Date]])</f>
        <v>7</v>
      </c>
    </row>
    <row r="113" spans="1:7" x14ac:dyDescent="0.25">
      <c r="A113" s="2">
        <v>-1300</v>
      </c>
      <c r="B113" s="1" t="s">
        <v>7</v>
      </c>
      <c r="C113" s="1" t="s">
        <v>8</v>
      </c>
      <c r="D113" s="1" t="s">
        <v>31</v>
      </c>
      <c r="E113" s="1" t="str">
        <f>_xlfn.XLOOKUP(operations[[#This Row],[Category]],categories[Category],categories[Type],"",0,1)</f>
        <v>Transfer</v>
      </c>
      <c r="F113" s="3">
        <v>45488</v>
      </c>
      <c r="G113" s="1">
        <f>MONTH(operations[[#This Row],[Date]])</f>
        <v>7</v>
      </c>
    </row>
    <row r="114" spans="1:7" x14ac:dyDescent="0.25">
      <c r="A114" s="2">
        <v>-300</v>
      </c>
      <c r="B114" s="1" t="s">
        <v>7</v>
      </c>
      <c r="C114" s="1" t="s">
        <v>10</v>
      </c>
      <c r="D114" s="1" t="s">
        <v>21</v>
      </c>
      <c r="E114" s="1" t="str">
        <f>_xlfn.XLOOKUP(operations[[#This Row],[Category]],categories[Category],categories[Type],"",0,1)</f>
        <v>Expense</v>
      </c>
      <c r="F114" s="3">
        <v>45489</v>
      </c>
      <c r="G114" s="1">
        <f>MONTH(operations[[#This Row],[Date]])</f>
        <v>7</v>
      </c>
    </row>
    <row r="115" spans="1:7" x14ac:dyDescent="0.25">
      <c r="A115" s="2">
        <v>800</v>
      </c>
      <c r="B115" s="1" t="s">
        <v>11</v>
      </c>
      <c r="C115" s="1" t="s">
        <v>12</v>
      </c>
      <c r="D115" s="1" t="s">
        <v>29</v>
      </c>
      <c r="E115" s="1" t="str">
        <f>_xlfn.XLOOKUP(operations[[#This Row],[Category]],categories[Category],categories[Type],"",0,1)</f>
        <v>Income</v>
      </c>
      <c r="F115" s="3">
        <v>45491</v>
      </c>
      <c r="G115" s="1">
        <f>MONTH(operations[[#This Row],[Date]])</f>
        <v>7</v>
      </c>
    </row>
    <row r="116" spans="1:7" x14ac:dyDescent="0.25">
      <c r="A116" s="2">
        <v>-600</v>
      </c>
      <c r="B116" s="1" t="s">
        <v>11</v>
      </c>
      <c r="C116" s="1" t="s">
        <v>8</v>
      </c>
      <c r="D116" s="1" t="s">
        <v>20</v>
      </c>
      <c r="E116" s="1" t="str">
        <f>_xlfn.XLOOKUP(operations[[#This Row],[Category]],categories[Category],categories[Type],"",0,1)</f>
        <v>Expense</v>
      </c>
      <c r="F116" s="3">
        <v>45494</v>
      </c>
      <c r="G116" s="1">
        <f>MONTH(operations[[#This Row],[Date]])</f>
        <v>7</v>
      </c>
    </row>
    <row r="117" spans="1:7" x14ac:dyDescent="0.25">
      <c r="A117" s="2">
        <v>120</v>
      </c>
      <c r="B117" s="1" t="s">
        <v>7</v>
      </c>
      <c r="C117" s="1" t="s">
        <v>10</v>
      </c>
      <c r="D117" s="1" t="s">
        <v>28</v>
      </c>
      <c r="E117" s="1" t="str">
        <f>_xlfn.XLOOKUP(operations[[#This Row],[Category]],categories[Category],categories[Type],"",0,1)</f>
        <v>Income</v>
      </c>
      <c r="F117" s="3">
        <v>45495</v>
      </c>
      <c r="G117" s="1">
        <f>MONTH(operations[[#This Row],[Date]])</f>
        <v>7</v>
      </c>
    </row>
    <row r="118" spans="1:7" x14ac:dyDescent="0.25">
      <c r="A118" s="2">
        <v>-90</v>
      </c>
      <c r="B118" s="1" t="s">
        <v>7</v>
      </c>
      <c r="C118" s="1" t="s">
        <v>8</v>
      </c>
      <c r="D118" s="1" t="s">
        <v>16</v>
      </c>
      <c r="E118" s="1" t="str">
        <f>_xlfn.XLOOKUP(operations[[#This Row],[Category]],categories[Category],categories[Type],"",0,1)</f>
        <v>Expense</v>
      </c>
      <c r="F118" s="3">
        <v>45497</v>
      </c>
      <c r="G118" s="1">
        <f>MONTH(operations[[#This Row],[Date]])</f>
        <v>7</v>
      </c>
    </row>
    <row r="119" spans="1:7" x14ac:dyDescent="0.25">
      <c r="A119" s="2">
        <v>-50</v>
      </c>
      <c r="B119" s="1" t="s">
        <v>7</v>
      </c>
      <c r="C119" s="1" t="s">
        <v>9</v>
      </c>
      <c r="D119" s="1" t="s">
        <v>17</v>
      </c>
      <c r="E119" s="1" t="str">
        <f>_xlfn.XLOOKUP(operations[[#This Row],[Category]],categories[Category],categories[Type],"",0,1)</f>
        <v>Expense</v>
      </c>
      <c r="F119" s="3">
        <v>45499</v>
      </c>
      <c r="G119" s="1">
        <f>MONTH(operations[[#This Row],[Date]])</f>
        <v>7</v>
      </c>
    </row>
    <row r="120" spans="1:7" x14ac:dyDescent="0.25">
      <c r="A120" s="2">
        <v>250</v>
      </c>
      <c r="B120" s="1" t="s">
        <v>11</v>
      </c>
      <c r="C120" s="1" t="s">
        <v>12</v>
      </c>
      <c r="D120" s="1" t="s">
        <v>22</v>
      </c>
      <c r="E120" s="1" t="str">
        <f>_xlfn.XLOOKUP(operations[[#This Row],[Category]],categories[Category],categories[Type],"",0,1)</f>
        <v>Expense</v>
      </c>
      <c r="F120" s="3">
        <v>45502</v>
      </c>
      <c r="G120" s="1">
        <f>MONTH(operations[[#This Row],[Date]])</f>
        <v>7</v>
      </c>
    </row>
    <row r="121" spans="1:7" x14ac:dyDescent="0.25">
      <c r="A121" s="2">
        <v>500</v>
      </c>
      <c r="B121" s="1" t="s">
        <v>11</v>
      </c>
      <c r="C121" s="1" t="s">
        <v>8</v>
      </c>
      <c r="D121" s="1" t="s">
        <v>27</v>
      </c>
      <c r="E121" s="1" t="str">
        <f>_xlfn.XLOOKUP(operations[[#This Row],[Category]],categories[Category],categories[Type],"",0,1)</f>
        <v>Income</v>
      </c>
      <c r="F121" s="3">
        <v>45503</v>
      </c>
      <c r="G121" s="1">
        <f>MONTH(operations[[#This Row],[Date]])</f>
        <v>7</v>
      </c>
    </row>
    <row r="122" spans="1:7" x14ac:dyDescent="0.25">
      <c r="A122" s="2">
        <v>-45</v>
      </c>
      <c r="B122" s="1" t="s">
        <v>7</v>
      </c>
      <c r="C122" s="1" t="s">
        <v>9</v>
      </c>
      <c r="D122" s="1" t="s">
        <v>17</v>
      </c>
      <c r="E122" s="1" t="str">
        <f>_xlfn.XLOOKUP(operations[[#This Row],[Category]],categories[Category],categories[Type],"",0,1)</f>
        <v>Expense</v>
      </c>
      <c r="F122" s="3">
        <v>45504</v>
      </c>
      <c r="G122" s="1">
        <f>MONTH(operations[[#This Row],[Date]])</f>
        <v>7</v>
      </c>
    </row>
    <row r="123" spans="1:7" x14ac:dyDescent="0.25">
      <c r="A123" s="2">
        <v>-600</v>
      </c>
      <c r="B123" s="1" t="s">
        <v>7</v>
      </c>
      <c r="C123" s="1" t="s">
        <v>8</v>
      </c>
      <c r="D123" s="1" t="s">
        <v>17</v>
      </c>
      <c r="E123" s="1" t="str">
        <f>_xlfn.XLOOKUP(operations[[#This Row],[Category]],categories[Category],categories[Type],"",0,1)</f>
        <v>Expense</v>
      </c>
      <c r="F123" s="3">
        <v>45505</v>
      </c>
      <c r="G123" s="1">
        <f>MONTH(operations[[#This Row],[Date]])</f>
        <v>8</v>
      </c>
    </row>
    <row r="124" spans="1:7" x14ac:dyDescent="0.25">
      <c r="A124" s="2">
        <v>-1020</v>
      </c>
      <c r="B124" s="1" t="s">
        <v>7</v>
      </c>
      <c r="C124" s="1" t="s">
        <v>10</v>
      </c>
      <c r="D124" s="1" t="s">
        <v>31</v>
      </c>
      <c r="E124" s="1" t="str">
        <f>_xlfn.XLOOKUP(operations[[#This Row],[Category]],categories[Category],categories[Type],"",0,1)</f>
        <v>Transfer</v>
      </c>
      <c r="F124" s="3">
        <v>45505</v>
      </c>
      <c r="G124" s="1">
        <f>MONTH(operations[[#This Row],[Date]])</f>
        <v>8</v>
      </c>
    </row>
    <row r="125" spans="1:7" x14ac:dyDescent="0.25">
      <c r="A125" s="2">
        <v>-200</v>
      </c>
      <c r="B125" s="1" t="s">
        <v>11</v>
      </c>
      <c r="C125" s="1" t="s">
        <v>8</v>
      </c>
      <c r="D125" s="1" t="s">
        <v>16</v>
      </c>
      <c r="E125" s="1" t="str">
        <f>_xlfn.XLOOKUP(operations[[#This Row],[Category]],categories[Category],categories[Type],"",0,1)</f>
        <v>Expense</v>
      </c>
      <c r="F125" s="3">
        <v>45505</v>
      </c>
      <c r="G125" s="1">
        <f>MONTH(operations[[#This Row],[Date]])</f>
        <v>8</v>
      </c>
    </row>
    <row r="126" spans="1:7" x14ac:dyDescent="0.25">
      <c r="A126" s="2">
        <v>-70</v>
      </c>
      <c r="B126" s="1" t="s">
        <v>7</v>
      </c>
      <c r="C126" s="1" t="s">
        <v>9</v>
      </c>
      <c r="D126" s="1" t="s">
        <v>17</v>
      </c>
      <c r="E126" s="1" t="str">
        <f>_xlfn.XLOOKUP(operations[[#This Row],[Category]],categories[Category],categories[Type],"",0,1)</f>
        <v>Expense</v>
      </c>
      <c r="F126" s="3">
        <v>45513</v>
      </c>
      <c r="G126" s="1">
        <f>MONTH(operations[[#This Row],[Date]])</f>
        <v>8</v>
      </c>
    </row>
    <row r="127" spans="1:7" x14ac:dyDescent="0.25">
      <c r="A127" s="2">
        <v>4500</v>
      </c>
      <c r="B127" s="1" t="s">
        <v>7</v>
      </c>
      <c r="C127" s="1" t="s">
        <v>8</v>
      </c>
      <c r="D127" s="1" t="s">
        <v>26</v>
      </c>
      <c r="E127" s="1" t="str">
        <f>_xlfn.XLOOKUP(operations[[#This Row],[Category]],categories[Category],categories[Type],"",0,1)</f>
        <v>Income</v>
      </c>
      <c r="F127" s="3">
        <v>45514</v>
      </c>
      <c r="G127" s="1">
        <f>MONTH(operations[[#This Row],[Date]])</f>
        <v>8</v>
      </c>
    </row>
    <row r="128" spans="1:7" x14ac:dyDescent="0.25">
      <c r="A128" s="2">
        <v>-2000</v>
      </c>
      <c r="B128" s="1" t="s">
        <v>7</v>
      </c>
      <c r="C128" s="1" t="s">
        <v>8</v>
      </c>
      <c r="D128" s="1" t="s">
        <v>18</v>
      </c>
      <c r="E128" s="1" t="str">
        <f>_xlfn.XLOOKUP(operations[[#This Row],[Category]],categories[Category],categories[Type],"",0,1)</f>
        <v>Expense</v>
      </c>
      <c r="F128" s="3">
        <v>45515</v>
      </c>
      <c r="G128" s="1">
        <f>MONTH(operations[[#This Row],[Date]])</f>
        <v>8</v>
      </c>
    </row>
    <row r="129" spans="1:7" x14ac:dyDescent="0.25">
      <c r="A129" s="2">
        <v>-100</v>
      </c>
      <c r="B129" s="1" t="s">
        <v>11</v>
      </c>
      <c r="C129" s="1" t="s">
        <v>8</v>
      </c>
      <c r="D129" s="1" t="s">
        <v>20</v>
      </c>
      <c r="E129" s="1" t="str">
        <f>_xlfn.XLOOKUP(operations[[#This Row],[Category]],categories[Category],categories[Type],"",0,1)</f>
        <v>Expense</v>
      </c>
      <c r="F129" s="3">
        <v>45518</v>
      </c>
      <c r="G129" s="1">
        <f>MONTH(operations[[#This Row],[Date]])</f>
        <v>8</v>
      </c>
    </row>
    <row r="130" spans="1:7" x14ac:dyDescent="0.25">
      <c r="A130" s="2">
        <v>135</v>
      </c>
      <c r="B130" s="1" t="s">
        <v>7</v>
      </c>
      <c r="C130" s="1" t="s">
        <v>9</v>
      </c>
      <c r="D130" s="1" t="s">
        <v>31</v>
      </c>
      <c r="E130" s="1" t="str">
        <f>_xlfn.XLOOKUP(operations[[#This Row],[Category]],categories[Category],categories[Type],"",0,1)</f>
        <v>Transfer</v>
      </c>
      <c r="F130" s="3">
        <v>45519</v>
      </c>
      <c r="G130" s="1">
        <f>MONTH(operations[[#This Row],[Date]])</f>
        <v>8</v>
      </c>
    </row>
    <row r="131" spans="1:7" x14ac:dyDescent="0.25">
      <c r="A131" s="2">
        <v>-135</v>
      </c>
      <c r="B131" s="1" t="s">
        <v>7</v>
      </c>
      <c r="C131" s="1" t="s">
        <v>8</v>
      </c>
      <c r="D131" s="1" t="s">
        <v>31</v>
      </c>
      <c r="E131" s="1" t="str">
        <f>_xlfn.XLOOKUP(operations[[#This Row],[Category]],categories[Category],categories[Type],"",0,1)</f>
        <v>Transfer</v>
      </c>
      <c r="F131" s="3">
        <v>45519</v>
      </c>
      <c r="G131" s="1">
        <f>MONTH(operations[[#This Row],[Date]])</f>
        <v>8</v>
      </c>
    </row>
    <row r="132" spans="1:7" x14ac:dyDescent="0.25">
      <c r="A132" s="2">
        <v>-400</v>
      </c>
      <c r="B132" s="1" t="s">
        <v>7</v>
      </c>
      <c r="C132" s="1" t="s">
        <v>8</v>
      </c>
      <c r="D132" s="1" t="s">
        <v>21</v>
      </c>
      <c r="E132" s="1" t="str">
        <f>_xlfn.XLOOKUP(operations[[#This Row],[Category]],categories[Category],categories[Type],"",0,1)</f>
        <v>Expense</v>
      </c>
      <c r="F132" s="3">
        <v>45520</v>
      </c>
      <c r="G132" s="1">
        <f>MONTH(operations[[#This Row],[Date]])</f>
        <v>8</v>
      </c>
    </row>
    <row r="133" spans="1:7" x14ac:dyDescent="0.25">
      <c r="A133" s="2">
        <v>-32</v>
      </c>
      <c r="B133" s="1" t="s">
        <v>7</v>
      </c>
      <c r="C133" s="1" t="s">
        <v>9</v>
      </c>
      <c r="D133" s="1" t="s">
        <v>17</v>
      </c>
      <c r="E133" s="1" t="str">
        <f>_xlfn.XLOOKUP(operations[[#This Row],[Category]],categories[Category],categories[Type],"",0,1)</f>
        <v>Expense</v>
      </c>
      <c r="F133" s="3">
        <v>45522</v>
      </c>
      <c r="G133" s="1">
        <f>MONTH(operations[[#This Row],[Date]])</f>
        <v>8</v>
      </c>
    </row>
    <row r="134" spans="1:7" x14ac:dyDescent="0.25">
      <c r="A134" s="2">
        <v>200</v>
      </c>
      <c r="B134" s="1" t="s">
        <v>13</v>
      </c>
      <c r="C134" s="1" t="s">
        <v>14</v>
      </c>
      <c r="D134" s="1" t="s">
        <v>29</v>
      </c>
      <c r="E134" s="1" t="str">
        <f>_xlfn.XLOOKUP(operations[[#This Row],[Category]],categories[Category],categories[Type],"",0,1)</f>
        <v>Income</v>
      </c>
      <c r="F134" s="3">
        <v>45524</v>
      </c>
      <c r="G134" s="1">
        <f>MONTH(operations[[#This Row],[Date]])</f>
        <v>8</v>
      </c>
    </row>
    <row r="135" spans="1:7" x14ac:dyDescent="0.25">
      <c r="A135" s="2">
        <v>-150</v>
      </c>
      <c r="B135" s="1" t="s">
        <v>13</v>
      </c>
      <c r="C135" s="1" t="s">
        <v>14</v>
      </c>
      <c r="D135" s="1" t="s">
        <v>20</v>
      </c>
      <c r="E135" s="1" t="str">
        <f>_xlfn.XLOOKUP(operations[[#This Row],[Category]],categories[Category],categories[Type],"",0,1)</f>
        <v>Expense</v>
      </c>
      <c r="F135" s="3">
        <v>45526</v>
      </c>
      <c r="G135" s="1">
        <f>MONTH(operations[[#This Row],[Date]])</f>
        <v>8</v>
      </c>
    </row>
    <row r="136" spans="1:7" x14ac:dyDescent="0.25">
      <c r="A136" s="2">
        <v>-47.5</v>
      </c>
      <c r="B136" s="1" t="s">
        <v>13</v>
      </c>
      <c r="C136" s="1" t="s">
        <v>14</v>
      </c>
      <c r="D136" s="1" t="s">
        <v>17</v>
      </c>
      <c r="E136" s="1" t="str">
        <f>_xlfn.XLOOKUP(operations[[#This Row],[Category]],categories[Category],categories[Type],"",0,1)</f>
        <v>Expense</v>
      </c>
      <c r="F136" s="3">
        <v>45527</v>
      </c>
      <c r="G136" s="1">
        <f>MONTH(operations[[#This Row],[Date]])</f>
        <v>8</v>
      </c>
    </row>
    <row r="137" spans="1:7" x14ac:dyDescent="0.25">
      <c r="A137" s="2">
        <v>-90</v>
      </c>
      <c r="B137" s="1" t="s">
        <v>7</v>
      </c>
      <c r="C137" s="1" t="s">
        <v>8</v>
      </c>
      <c r="D137" s="1" t="s">
        <v>16</v>
      </c>
      <c r="E137" s="1" t="str">
        <f>_xlfn.XLOOKUP(operations[[#This Row],[Category]],categories[Category],categories[Type],"",0,1)</f>
        <v>Expense</v>
      </c>
      <c r="F137" s="3">
        <v>45528</v>
      </c>
      <c r="G137" s="1">
        <f>MONTH(operations[[#This Row],[Date]])</f>
        <v>8</v>
      </c>
    </row>
    <row r="138" spans="1:7" x14ac:dyDescent="0.25">
      <c r="A138" s="2">
        <v>-300</v>
      </c>
      <c r="B138" s="1" t="s">
        <v>11</v>
      </c>
      <c r="C138" s="1" t="s">
        <v>12</v>
      </c>
      <c r="D138" s="1" t="s">
        <v>22</v>
      </c>
      <c r="E138" s="1" t="str">
        <f>_xlfn.XLOOKUP(operations[[#This Row],[Category]],categories[Category],categories[Type],"",0,1)</f>
        <v>Expense</v>
      </c>
      <c r="F138" s="3">
        <v>45531</v>
      </c>
      <c r="G138" s="1">
        <f>MONTH(operations[[#This Row],[Date]])</f>
        <v>8</v>
      </c>
    </row>
    <row r="139" spans="1:7" x14ac:dyDescent="0.25">
      <c r="A139" s="2">
        <v>500</v>
      </c>
      <c r="B139" s="1" t="s">
        <v>11</v>
      </c>
      <c r="C139" s="1" t="s">
        <v>8</v>
      </c>
      <c r="D139" s="1" t="s">
        <v>27</v>
      </c>
      <c r="E139" s="1" t="str">
        <f>_xlfn.XLOOKUP(operations[[#This Row],[Category]],categories[Category],categories[Type],"",0,1)</f>
        <v>Income</v>
      </c>
      <c r="F139" s="3">
        <v>45534</v>
      </c>
      <c r="G139" s="1">
        <f>MONTH(operations[[#This Row],[Date]])</f>
        <v>8</v>
      </c>
    </row>
    <row r="140" spans="1:7" x14ac:dyDescent="0.25">
      <c r="A140" s="2">
        <v>200</v>
      </c>
      <c r="B140" s="1" t="s">
        <v>7</v>
      </c>
      <c r="C140" s="1" t="s">
        <v>8</v>
      </c>
      <c r="D140" s="1" t="s">
        <v>29</v>
      </c>
      <c r="E140" s="1" t="str">
        <f>_xlfn.XLOOKUP(operations[[#This Row],[Category]],categories[Category],categories[Type],"",0,1)</f>
        <v>Income</v>
      </c>
      <c r="F140" s="3">
        <v>45535</v>
      </c>
      <c r="G140" s="1">
        <f>MONTH(operations[[#This Row],[Date]])</f>
        <v>8</v>
      </c>
    </row>
    <row r="141" spans="1:7" x14ac:dyDescent="0.25">
      <c r="A141" s="2">
        <v>-150</v>
      </c>
      <c r="B141" s="1" t="s">
        <v>7</v>
      </c>
      <c r="C141" s="1" t="s">
        <v>8</v>
      </c>
      <c r="D141" s="1" t="s">
        <v>16</v>
      </c>
      <c r="E141" s="1" t="str">
        <f>_xlfn.XLOOKUP(operations[[#This Row],[Category]],categories[Category],categories[Type],"",0,1)</f>
        <v>Expense</v>
      </c>
      <c r="F141" s="3">
        <v>45536</v>
      </c>
      <c r="G141" s="1">
        <f>MONTH(operations[[#This Row],[Date]])</f>
        <v>9</v>
      </c>
    </row>
    <row r="142" spans="1:7" x14ac:dyDescent="0.25">
      <c r="A142" s="2">
        <v>-20</v>
      </c>
      <c r="B142" s="1" t="s">
        <v>11</v>
      </c>
      <c r="C142" s="1" t="s">
        <v>8</v>
      </c>
      <c r="D142" s="1" t="s">
        <v>17</v>
      </c>
      <c r="E142" s="1" t="str">
        <f>_xlfn.XLOOKUP(operations[[#This Row],[Category]],categories[Category],categories[Type],"",0,1)</f>
        <v>Expense</v>
      </c>
      <c r="F142" s="3">
        <v>45539</v>
      </c>
      <c r="G142" s="1">
        <f>MONTH(operations[[#This Row],[Date]])</f>
        <v>9</v>
      </c>
    </row>
    <row r="143" spans="1:7" x14ac:dyDescent="0.25">
      <c r="A143" s="2">
        <v>-40</v>
      </c>
      <c r="B143" s="1" t="s">
        <v>7</v>
      </c>
      <c r="C143" s="1" t="s">
        <v>8</v>
      </c>
      <c r="D143" s="1" t="s">
        <v>19</v>
      </c>
      <c r="E143" s="1" t="str">
        <f>_xlfn.XLOOKUP(operations[[#This Row],[Category]],categories[Category],categories[Type],"",0,1)</f>
        <v>Expense</v>
      </c>
      <c r="F143" s="3">
        <v>45542</v>
      </c>
      <c r="G143" s="1">
        <f>MONTH(operations[[#This Row],[Date]])</f>
        <v>9</v>
      </c>
    </row>
    <row r="144" spans="1:7" x14ac:dyDescent="0.25">
      <c r="A144" s="2">
        <v>-500</v>
      </c>
      <c r="B144" s="1" t="s">
        <v>7</v>
      </c>
      <c r="C144" s="1" t="s">
        <v>8</v>
      </c>
      <c r="D144" s="1" t="s">
        <v>17</v>
      </c>
      <c r="E144" s="1" t="str">
        <f>_xlfn.XLOOKUP(operations[[#This Row],[Category]],categories[Category],categories[Type],"",0,1)</f>
        <v>Expense</v>
      </c>
      <c r="F144" s="3">
        <v>45543</v>
      </c>
      <c r="G144" s="1">
        <f>MONTH(operations[[#This Row],[Date]])</f>
        <v>9</v>
      </c>
    </row>
    <row r="145" spans="1:7" x14ac:dyDescent="0.25">
      <c r="A145" s="2">
        <v>4500</v>
      </c>
      <c r="B145" s="1" t="s">
        <v>7</v>
      </c>
      <c r="C145" s="1" t="s">
        <v>8</v>
      </c>
      <c r="D145" s="1" t="s">
        <v>26</v>
      </c>
      <c r="E145" s="1" t="str">
        <f>_xlfn.XLOOKUP(operations[[#This Row],[Category]],categories[Category],categories[Type],"",0,1)</f>
        <v>Income</v>
      </c>
      <c r="F145" s="3">
        <v>45545</v>
      </c>
      <c r="G145" s="1">
        <f>MONTH(operations[[#This Row],[Date]])</f>
        <v>9</v>
      </c>
    </row>
    <row r="146" spans="1:7" x14ac:dyDescent="0.25">
      <c r="A146" s="2">
        <v>-20</v>
      </c>
      <c r="B146" s="1" t="s">
        <v>7</v>
      </c>
      <c r="C146" s="1" t="s">
        <v>9</v>
      </c>
      <c r="D146" s="1" t="s">
        <v>20</v>
      </c>
      <c r="E146" s="1" t="str">
        <f>_xlfn.XLOOKUP(operations[[#This Row],[Category]],categories[Category],categories[Type],"",0,1)</f>
        <v>Expense</v>
      </c>
      <c r="F146" s="3">
        <v>45546</v>
      </c>
      <c r="G146" s="1">
        <f>MONTH(operations[[#This Row],[Date]])</f>
        <v>9</v>
      </c>
    </row>
    <row r="147" spans="1:7" x14ac:dyDescent="0.25">
      <c r="A147" s="2">
        <v>-2000</v>
      </c>
      <c r="B147" s="1" t="s">
        <v>7</v>
      </c>
      <c r="C147" s="1" t="s">
        <v>8</v>
      </c>
      <c r="D147" s="1" t="s">
        <v>18</v>
      </c>
      <c r="E147" s="1" t="str">
        <f>_xlfn.XLOOKUP(operations[[#This Row],[Category]],categories[Category],categories[Type],"",0,1)</f>
        <v>Expense</v>
      </c>
      <c r="F147" s="3">
        <v>45546</v>
      </c>
      <c r="G147" s="1">
        <f>MONTH(operations[[#This Row],[Date]])</f>
        <v>9</v>
      </c>
    </row>
    <row r="148" spans="1:7" x14ac:dyDescent="0.25">
      <c r="A148" s="2">
        <v>102</v>
      </c>
      <c r="B148" s="1" t="s">
        <v>7</v>
      </c>
      <c r="C148" s="1" t="s">
        <v>9</v>
      </c>
      <c r="D148" s="1" t="s">
        <v>31</v>
      </c>
      <c r="E148" s="1" t="str">
        <f>_xlfn.XLOOKUP(operations[[#This Row],[Category]],categories[Category],categories[Type],"",0,1)</f>
        <v>Transfer</v>
      </c>
      <c r="F148" s="3">
        <v>45550</v>
      </c>
      <c r="G148" s="1">
        <f>MONTH(operations[[#This Row],[Date]])</f>
        <v>9</v>
      </c>
    </row>
    <row r="149" spans="1:7" x14ac:dyDescent="0.25">
      <c r="A149" s="2">
        <v>-102</v>
      </c>
      <c r="B149" s="1" t="s">
        <v>7</v>
      </c>
      <c r="C149" s="1" t="s">
        <v>8</v>
      </c>
      <c r="D149" s="1" t="s">
        <v>31</v>
      </c>
      <c r="E149" s="1" t="str">
        <f>_xlfn.XLOOKUP(operations[[#This Row],[Category]],categories[Category],categories[Type],"",0,1)</f>
        <v>Transfer</v>
      </c>
      <c r="F149" s="3">
        <v>45550</v>
      </c>
      <c r="G149" s="1">
        <f>MONTH(operations[[#This Row],[Date]])</f>
        <v>9</v>
      </c>
    </row>
    <row r="150" spans="1:7" x14ac:dyDescent="0.25">
      <c r="A150" s="2">
        <v>-18.5</v>
      </c>
      <c r="B150" s="1" t="s">
        <v>7</v>
      </c>
      <c r="C150" s="1" t="s">
        <v>8</v>
      </c>
      <c r="D150" s="1" t="s">
        <v>17</v>
      </c>
      <c r="E150" s="1" t="str">
        <f>_xlfn.XLOOKUP(operations[[#This Row],[Category]],categories[Category],categories[Type],"",0,1)</f>
        <v>Expense</v>
      </c>
      <c r="F150" s="3">
        <v>45553</v>
      </c>
      <c r="G150" s="1">
        <f>MONTH(operations[[#This Row],[Date]])</f>
        <v>9</v>
      </c>
    </row>
    <row r="151" spans="1:7" x14ac:dyDescent="0.25">
      <c r="A151" s="2">
        <v>-150</v>
      </c>
      <c r="B151" s="1" t="s">
        <v>7</v>
      </c>
      <c r="C151" s="1" t="s">
        <v>8</v>
      </c>
      <c r="D151" s="1" t="s">
        <v>16</v>
      </c>
      <c r="E151" s="1" t="str">
        <f>_xlfn.XLOOKUP(operations[[#This Row],[Category]],categories[Category],categories[Type],"",0,1)</f>
        <v>Expense</v>
      </c>
      <c r="F151" s="3">
        <v>45566</v>
      </c>
      <c r="G151" s="1">
        <f>MONTH(operations[[#This Row],[Date]])</f>
        <v>10</v>
      </c>
    </row>
    <row r="152" spans="1:7" x14ac:dyDescent="0.25">
      <c r="A152" s="2">
        <v>-40</v>
      </c>
      <c r="B152" s="1" t="s">
        <v>7</v>
      </c>
      <c r="C152" s="1" t="s">
        <v>8</v>
      </c>
      <c r="D152" s="1" t="s">
        <v>19</v>
      </c>
      <c r="E152" s="1" t="str">
        <f>_xlfn.XLOOKUP(operations[[#This Row],[Category]],categories[Category],categories[Type],"",0,1)</f>
        <v>Expense</v>
      </c>
      <c r="F152" s="3">
        <v>45572</v>
      </c>
      <c r="G152" s="1">
        <f>MONTH(operations[[#This Row],[Date]])</f>
        <v>10</v>
      </c>
    </row>
    <row r="153" spans="1:7" x14ac:dyDescent="0.25">
      <c r="A153" s="2">
        <v>-600</v>
      </c>
      <c r="B153" s="1" t="s">
        <v>7</v>
      </c>
      <c r="C153" s="1" t="s">
        <v>8</v>
      </c>
      <c r="D153" s="1" t="s">
        <v>17</v>
      </c>
      <c r="E153" s="1" t="str">
        <f>_xlfn.XLOOKUP(operations[[#This Row],[Category]],categories[Category],categories[Type],"",0,1)</f>
        <v>Expense</v>
      </c>
      <c r="F153" s="3">
        <v>45573</v>
      </c>
      <c r="G153" s="1">
        <f>MONTH(operations[[#This Row],[Date]])</f>
        <v>10</v>
      </c>
    </row>
    <row r="154" spans="1:7" x14ac:dyDescent="0.25">
      <c r="A154" s="2">
        <v>4500</v>
      </c>
      <c r="B154" s="1" t="s">
        <v>7</v>
      </c>
      <c r="C154" s="1" t="s">
        <v>8</v>
      </c>
      <c r="D154" s="1" t="s">
        <v>26</v>
      </c>
      <c r="E154" s="1" t="str">
        <f>_xlfn.XLOOKUP(operations[[#This Row],[Category]],categories[Category],categories[Type],"",0,1)</f>
        <v>Income</v>
      </c>
      <c r="F154" s="3">
        <v>45575</v>
      </c>
      <c r="G154" s="1">
        <f>MONTH(operations[[#This Row],[Date]])</f>
        <v>10</v>
      </c>
    </row>
    <row r="155" spans="1:7" x14ac:dyDescent="0.25">
      <c r="A155" s="2">
        <v>-40</v>
      </c>
      <c r="B155" s="1" t="s">
        <v>7</v>
      </c>
      <c r="C155" s="1" t="s">
        <v>9</v>
      </c>
      <c r="D155" s="1" t="s">
        <v>20</v>
      </c>
      <c r="E155" s="1" t="str">
        <f>_xlfn.XLOOKUP(operations[[#This Row],[Category]],categories[Category],categories[Type],"",0,1)</f>
        <v>Expense</v>
      </c>
      <c r="F155" s="3">
        <v>45576</v>
      </c>
      <c r="G155" s="1">
        <f>MONTH(operations[[#This Row],[Date]])</f>
        <v>10</v>
      </c>
    </row>
    <row r="156" spans="1:7" x14ac:dyDescent="0.25">
      <c r="A156" s="2">
        <v>-2000</v>
      </c>
      <c r="B156" s="1" t="s">
        <v>7</v>
      </c>
      <c r="C156" s="1" t="s">
        <v>8</v>
      </c>
      <c r="D156" s="1" t="s">
        <v>18</v>
      </c>
      <c r="E156" s="1" t="str">
        <f>_xlfn.XLOOKUP(operations[[#This Row],[Category]],categories[Category],categories[Type],"",0,1)</f>
        <v>Expense</v>
      </c>
      <c r="F156" s="3">
        <v>45576</v>
      </c>
      <c r="G156" s="1">
        <f>MONTH(operations[[#This Row],[Date]])</f>
        <v>10</v>
      </c>
    </row>
    <row r="157" spans="1:7" x14ac:dyDescent="0.25">
      <c r="A157" s="2">
        <v>20</v>
      </c>
      <c r="B157" s="1" t="s">
        <v>7</v>
      </c>
      <c r="C157" s="1" t="s">
        <v>9</v>
      </c>
      <c r="D157" s="1" t="s">
        <v>31</v>
      </c>
      <c r="E157" s="1" t="str">
        <f>_xlfn.XLOOKUP(operations[[#This Row],[Category]],categories[Category],categories[Type],"",0,1)</f>
        <v>Transfer</v>
      </c>
      <c r="F157" s="3">
        <v>45580</v>
      </c>
      <c r="G157" s="1">
        <f>MONTH(operations[[#This Row],[Date]])</f>
        <v>10</v>
      </c>
    </row>
    <row r="158" spans="1:7" x14ac:dyDescent="0.25">
      <c r="A158" s="2">
        <v>-20</v>
      </c>
      <c r="B158" s="1" t="s">
        <v>7</v>
      </c>
      <c r="C158" s="1" t="s">
        <v>8</v>
      </c>
      <c r="D158" s="1" t="s">
        <v>31</v>
      </c>
      <c r="E158" s="1" t="str">
        <f>_xlfn.XLOOKUP(operations[[#This Row],[Category]],categories[Category],categories[Type],"",0,1)</f>
        <v>Transfer</v>
      </c>
      <c r="F158" s="3">
        <v>45580</v>
      </c>
      <c r="G158" s="1">
        <f>MONTH(operations[[#This Row],[Date]])</f>
        <v>10</v>
      </c>
    </row>
    <row r="159" spans="1:7" x14ac:dyDescent="0.25">
      <c r="A159" s="2">
        <v>4500</v>
      </c>
      <c r="B159" s="1" t="s">
        <v>7</v>
      </c>
      <c r="C159" s="1" t="s">
        <v>8</v>
      </c>
      <c r="D159" s="1" t="s">
        <v>26</v>
      </c>
      <c r="E159" s="1" t="str">
        <f>_xlfn.XLOOKUP(operations[[#This Row],[Category]],categories[Category],categories[Type],"",0,1)</f>
        <v>Income</v>
      </c>
      <c r="F159" s="3">
        <v>45606</v>
      </c>
      <c r="G159" s="1">
        <f>MONTH(operations[[#This Row],[Date]])</f>
        <v>11</v>
      </c>
    </row>
    <row r="160" spans="1:7" x14ac:dyDescent="0.25">
      <c r="A160" s="2">
        <v>-2000</v>
      </c>
      <c r="B160" s="1" t="s">
        <v>7</v>
      </c>
      <c r="C160" s="1" t="s">
        <v>8</v>
      </c>
      <c r="D160" s="1" t="s">
        <v>18</v>
      </c>
      <c r="E160" s="1" t="str">
        <f>_xlfn.XLOOKUP(operations[[#This Row],[Category]],categories[Category],categories[Type],"",0,1)</f>
        <v>Expense</v>
      </c>
      <c r="F160" s="3">
        <v>45607</v>
      </c>
      <c r="G160" s="1">
        <f>MONTH(operations[[#This Row],[Date]])</f>
        <v>11</v>
      </c>
    </row>
    <row r="161" spans="1:7" x14ac:dyDescent="0.25">
      <c r="A161" s="2">
        <v>-82</v>
      </c>
      <c r="B161" s="1" t="s">
        <v>7</v>
      </c>
      <c r="C161" s="1" t="s">
        <v>8</v>
      </c>
      <c r="D161" s="1" t="s">
        <v>16</v>
      </c>
      <c r="E161" s="1" t="str">
        <f>_xlfn.XLOOKUP(operations[[#This Row],[Category]],categories[Category],categories[Type],"",0,1)</f>
        <v>Expense</v>
      </c>
      <c r="F161" s="3">
        <v>45607</v>
      </c>
      <c r="G161" s="1">
        <f>MONTH(operations[[#This Row],[Date]])</f>
        <v>11</v>
      </c>
    </row>
    <row r="162" spans="1:7" x14ac:dyDescent="0.25">
      <c r="A162" s="2">
        <v>-200</v>
      </c>
      <c r="B162" s="1" t="s">
        <v>7</v>
      </c>
      <c r="C162" s="1" t="s">
        <v>8</v>
      </c>
      <c r="D162" s="1" t="s">
        <v>17</v>
      </c>
      <c r="E162" s="1" t="str">
        <f>_xlfn.XLOOKUP(operations[[#This Row],[Category]],categories[Category],categories[Type],"",0,1)</f>
        <v>Expense</v>
      </c>
      <c r="F162" s="3">
        <v>45607</v>
      </c>
      <c r="G162" s="1">
        <f>MONTH(operations[[#This Row],[Date]])</f>
        <v>11</v>
      </c>
    </row>
    <row r="163" spans="1:7" x14ac:dyDescent="0.25">
      <c r="A163" s="2">
        <v>-12</v>
      </c>
      <c r="B163" s="1" t="s">
        <v>7</v>
      </c>
      <c r="C163" s="1" t="s">
        <v>8</v>
      </c>
      <c r="D163" s="1" t="s">
        <v>19</v>
      </c>
      <c r="E163" s="1" t="str">
        <f>_xlfn.XLOOKUP(operations[[#This Row],[Category]],categories[Category],categories[Type],"",0,1)</f>
        <v>Expense</v>
      </c>
      <c r="F163" s="3">
        <v>45608</v>
      </c>
      <c r="G163" s="1">
        <f>MONTH(operations[[#This Row],[Date]])</f>
        <v>11</v>
      </c>
    </row>
    <row r="164" spans="1:7" x14ac:dyDescent="0.25">
      <c r="A164" s="2">
        <v>-90</v>
      </c>
      <c r="B164" s="1" t="s">
        <v>7</v>
      </c>
      <c r="C164" s="1" t="s">
        <v>8</v>
      </c>
      <c r="D164" s="1" t="s">
        <v>20</v>
      </c>
      <c r="E164" s="1" t="str">
        <f>_xlfn.XLOOKUP(operations[[#This Row],[Category]],categories[Category],categories[Type],"",0,1)</f>
        <v>Expense</v>
      </c>
      <c r="F164" s="3">
        <v>45610</v>
      </c>
      <c r="G164" s="1">
        <f>MONTH(operations[[#This Row],[Date]])</f>
        <v>11</v>
      </c>
    </row>
    <row r="165" spans="1:7" x14ac:dyDescent="0.25">
      <c r="A165" s="2">
        <v>40</v>
      </c>
      <c r="B165" s="1" t="s">
        <v>7</v>
      </c>
      <c r="C165" s="1" t="s">
        <v>9</v>
      </c>
      <c r="D165" s="1" t="s">
        <v>31</v>
      </c>
      <c r="E165" s="1" t="str">
        <f>_xlfn.XLOOKUP(operations[[#This Row],[Category]],categories[Category],categories[Type],"",0,1)</f>
        <v>Transfer</v>
      </c>
      <c r="F165" s="3">
        <v>45611</v>
      </c>
      <c r="G165" s="1">
        <f>MONTH(operations[[#This Row],[Date]])</f>
        <v>11</v>
      </c>
    </row>
    <row r="166" spans="1:7" x14ac:dyDescent="0.25">
      <c r="A166" s="2">
        <v>-40</v>
      </c>
      <c r="B166" s="1" t="s">
        <v>7</v>
      </c>
      <c r="C166" s="1" t="s">
        <v>8</v>
      </c>
      <c r="D166" s="1" t="s">
        <v>31</v>
      </c>
      <c r="E166" s="1" t="str">
        <f>_xlfn.XLOOKUP(operations[[#This Row],[Category]],categories[Category],categories[Type],"",0,1)</f>
        <v>Transfer</v>
      </c>
      <c r="F166" s="3">
        <v>45611</v>
      </c>
      <c r="G166" s="1">
        <f>MONTH(operations[[#This Row],[Date]])</f>
        <v>11</v>
      </c>
    </row>
    <row r="167" spans="1:7" x14ac:dyDescent="0.25">
      <c r="A167" s="2">
        <v>-28</v>
      </c>
      <c r="B167" s="1" t="s">
        <v>7</v>
      </c>
      <c r="C167" s="1" t="s">
        <v>8</v>
      </c>
      <c r="D167" s="1" t="s">
        <v>17</v>
      </c>
      <c r="E167" s="1" t="str">
        <f>_xlfn.XLOOKUP(operations[[#This Row],[Category]],categories[Category],categories[Type],"",0,1)</f>
        <v>Expense</v>
      </c>
      <c r="F167" s="3">
        <v>45612</v>
      </c>
      <c r="G167" s="1">
        <f>MONTH(operations[[#This Row],[Date]])</f>
        <v>11</v>
      </c>
    </row>
    <row r="168" spans="1:7" x14ac:dyDescent="0.25">
      <c r="A168" s="2">
        <v>-63</v>
      </c>
      <c r="B168" s="1" t="s">
        <v>7</v>
      </c>
      <c r="C168" s="1" t="s">
        <v>8</v>
      </c>
      <c r="D168" s="1" t="s">
        <v>21</v>
      </c>
      <c r="E168" s="1" t="str">
        <f>_xlfn.XLOOKUP(operations[[#This Row],[Category]],categories[Category],categories[Type],"",0,1)</f>
        <v>Expense</v>
      </c>
      <c r="F168" s="3">
        <v>45613</v>
      </c>
      <c r="G168" s="1">
        <f>MONTH(operations[[#This Row],[Date]])</f>
        <v>11</v>
      </c>
    </row>
    <row r="169" spans="1:7" x14ac:dyDescent="0.25">
      <c r="A169" s="2">
        <v>-15</v>
      </c>
      <c r="B169" s="1" t="s">
        <v>7</v>
      </c>
      <c r="C169" s="1" t="s">
        <v>8</v>
      </c>
      <c r="D169" s="1" t="s">
        <v>16</v>
      </c>
      <c r="E169" s="1" t="str">
        <f>_xlfn.XLOOKUP(operations[[#This Row],[Category]],categories[Category],categories[Type],"",0,1)</f>
        <v>Expense</v>
      </c>
      <c r="F169" s="3">
        <v>45613</v>
      </c>
      <c r="G169" s="1">
        <f>MONTH(operations[[#This Row],[Date]])</f>
        <v>11</v>
      </c>
    </row>
    <row r="170" spans="1:7" x14ac:dyDescent="0.25">
      <c r="A170" s="2">
        <v>-44</v>
      </c>
      <c r="B170" s="1" t="s">
        <v>7</v>
      </c>
      <c r="C170" s="1" t="s">
        <v>8</v>
      </c>
      <c r="D170" s="1" t="s">
        <v>17</v>
      </c>
      <c r="E170" s="1" t="str">
        <f>_xlfn.XLOOKUP(operations[[#This Row],[Category]],categories[Category],categories[Type],"",0,1)</f>
        <v>Expense</v>
      </c>
      <c r="F170" s="3">
        <v>45615</v>
      </c>
      <c r="G170" s="1">
        <f>MONTH(operations[[#This Row],[Date]])</f>
        <v>11</v>
      </c>
    </row>
    <row r="171" spans="1:7" x14ac:dyDescent="0.25">
      <c r="A171" s="2">
        <v>-107</v>
      </c>
      <c r="B171" s="1" t="s">
        <v>7</v>
      </c>
      <c r="C171" s="1" t="s">
        <v>8</v>
      </c>
      <c r="D171" s="1" t="s">
        <v>22</v>
      </c>
      <c r="E171" s="1" t="str">
        <f>_xlfn.XLOOKUP(operations[[#This Row],[Category]],categories[Category],categories[Type],"",0,1)</f>
        <v>Expense</v>
      </c>
      <c r="F171" s="3">
        <v>45616</v>
      </c>
      <c r="G171" s="1">
        <f>MONTH(operations[[#This Row],[Date]])</f>
        <v>11</v>
      </c>
    </row>
    <row r="172" spans="1:7" x14ac:dyDescent="0.25">
      <c r="A172" s="2">
        <v>-169</v>
      </c>
      <c r="B172" s="1" t="s">
        <v>7</v>
      </c>
      <c r="C172" s="1" t="s">
        <v>8</v>
      </c>
      <c r="D172" s="1" t="s">
        <v>24</v>
      </c>
      <c r="E172" s="1" t="str">
        <f>_xlfn.XLOOKUP(operations[[#This Row],[Category]],categories[Category],categories[Type],"",0,1)</f>
        <v>Expense</v>
      </c>
      <c r="F172" s="3">
        <v>45617</v>
      </c>
      <c r="G172" s="1">
        <f>MONTH(operations[[#This Row],[Date]])</f>
        <v>11</v>
      </c>
    </row>
    <row r="173" spans="1:7" x14ac:dyDescent="0.25">
      <c r="A173" s="2">
        <v>-51</v>
      </c>
      <c r="B173" s="1" t="s">
        <v>7</v>
      </c>
      <c r="C173" s="1" t="s">
        <v>8</v>
      </c>
      <c r="D173" s="1" t="s">
        <v>22</v>
      </c>
      <c r="E173" s="1" t="str">
        <f>_xlfn.XLOOKUP(operations[[#This Row],[Category]],categories[Category],categories[Type],"",0,1)</f>
        <v>Expense</v>
      </c>
      <c r="F173" s="3">
        <v>45618</v>
      </c>
      <c r="G173" s="1">
        <f>MONTH(operations[[#This Row],[Date]])</f>
        <v>11</v>
      </c>
    </row>
    <row r="174" spans="1:7" x14ac:dyDescent="0.25">
      <c r="A174" s="2">
        <v>-80</v>
      </c>
      <c r="B174" s="1" t="s">
        <v>7</v>
      </c>
      <c r="C174" s="1" t="s">
        <v>8</v>
      </c>
      <c r="D174" s="1" t="s">
        <v>17</v>
      </c>
      <c r="E174" s="1" t="str">
        <f>_xlfn.XLOOKUP(operations[[#This Row],[Category]],categories[Category],categories[Type],"",0,1)</f>
        <v>Expense</v>
      </c>
      <c r="F174" s="3">
        <v>45618</v>
      </c>
      <c r="G174" s="1">
        <f>MONTH(operations[[#This Row],[Date]])</f>
        <v>11</v>
      </c>
    </row>
    <row r="175" spans="1:7" x14ac:dyDescent="0.25">
      <c r="A175" s="2">
        <v>-70</v>
      </c>
      <c r="B175" s="1" t="s">
        <v>7</v>
      </c>
      <c r="C175" s="1" t="s">
        <v>8</v>
      </c>
      <c r="D175" s="1" t="s">
        <v>21</v>
      </c>
      <c r="E175" s="1" t="str">
        <f>_xlfn.XLOOKUP(operations[[#This Row],[Category]],categories[Category],categories[Type],"",0,1)</f>
        <v>Expense</v>
      </c>
      <c r="F175" s="3">
        <v>45618</v>
      </c>
      <c r="G175" s="1">
        <f>MONTH(operations[[#This Row],[Date]])</f>
        <v>11</v>
      </c>
    </row>
    <row r="176" spans="1:7" x14ac:dyDescent="0.25">
      <c r="A176" s="2">
        <v>-35</v>
      </c>
      <c r="B176" s="1" t="s">
        <v>7</v>
      </c>
      <c r="C176" s="1" t="s">
        <v>8</v>
      </c>
      <c r="D176" s="1" t="s">
        <v>19</v>
      </c>
      <c r="E176" s="1" t="str">
        <f>_xlfn.XLOOKUP(operations[[#This Row],[Category]],categories[Category],categories[Type],"",0,1)</f>
        <v>Expense</v>
      </c>
      <c r="F176" s="3">
        <v>45619</v>
      </c>
      <c r="G176" s="1">
        <f>MONTH(operations[[#This Row],[Date]])</f>
        <v>11</v>
      </c>
    </row>
    <row r="177" spans="1:7" x14ac:dyDescent="0.25">
      <c r="A177" s="2">
        <v>-11</v>
      </c>
      <c r="B177" s="1" t="s">
        <v>7</v>
      </c>
      <c r="C177" s="1" t="s">
        <v>8</v>
      </c>
      <c r="D177" s="1" t="s">
        <v>16</v>
      </c>
      <c r="E177" s="1" t="str">
        <f>_xlfn.XLOOKUP(operations[[#This Row],[Category]],categories[Category],categories[Type],"",0,1)</f>
        <v>Expense</v>
      </c>
      <c r="F177" s="3">
        <v>45619</v>
      </c>
      <c r="G177" s="1">
        <f>MONTH(operations[[#This Row],[Date]])</f>
        <v>11</v>
      </c>
    </row>
    <row r="178" spans="1:7" x14ac:dyDescent="0.25">
      <c r="A178" s="2">
        <v>-80</v>
      </c>
      <c r="B178" s="1" t="s">
        <v>7</v>
      </c>
      <c r="C178" s="1" t="s">
        <v>8</v>
      </c>
      <c r="D178" s="1" t="s">
        <v>20</v>
      </c>
      <c r="E178" s="1" t="str">
        <f>_xlfn.XLOOKUP(operations[[#This Row],[Category]],categories[Category],categories[Type],"",0,1)</f>
        <v>Expense</v>
      </c>
      <c r="F178" s="3">
        <v>45621</v>
      </c>
      <c r="G178" s="1">
        <f>MONTH(operations[[#This Row],[Date]])</f>
        <v>11</v>
      </c>
    </row>
    <row r="179" spans="1:7" x14ac:dyDescent="0.25">
      <c r="A179" s="2">
        <v>-58</v>
      </c>
      <c r="B179" s="1" t="s">
        <v>7</v>
      </c>
      <c r="C179" s="1" t="s">
        <v>8</v>
      </c>
      <c r="D179" s="1" t="s">
        <v>17</v>
      </c>
      <c r="E179" s="1" t="str">
        <f>_xlfn.XLOOKUP(operations[[#This Row],[Category]],categories[Category],categories[Type],"",0,1)</f>
        <v>Expense</v>
      </c>
      <c r="F179" s="3">
        <v>45622</v>
      </c>
      <c r="G179" s="1">
        <f>MONTH(operations[[#This Row],[Date]])</f>
        <v>11</v>
      </c>
    </row>
    <row r="180" spans="1:7" x14ac:dyDescent="0.25">
      <c r="A180" s="2">
        <v>-52</v>
      </c>
      <c r="B180" s="1" t="s">
        <v>7</v>
      </c>
      <c r="C180" s="1" t="s">
        <v>8</v>
      </c>
      <c r="D180" s="1" t="s">
        <v>16</v>
      </c>
      <c r="E180" s="1" t="str">
        <f>_xlfn.XLOOKUP(operations[[#This Row],[Category]],categories[Category],categories[Type],"",0,1)</f>
        <v>Expense</v>
      </c>
      <c r="F180" s="3">
        <v>45623</v>
      </c>
      <c r="G180" s="1">
        <f>MONTH(operations[[#This Row],[Date]])</f>
        <v>11</v>
      </c>
    </row>
    <row r="181" spans="1:7" x14ac:dyDescent="0.25">
      <c r="A181" s="2">
        <v>-44</v>
      </c>
      <c r="B181" s="1" t="s">
        <v>7</v>
      </c>
      <c r="C181" s="1" t="s">
        <v>8</v>
      </c>
      <c r="D181" s="1" t="s">
        <v>20</v>
      </c>
      <c r="E181" s="1" t="str">
        <f>_xlfn.XLOOKUP(operations[[#This Row],[Category]],categories[Category],categories[Type],"",0,1)</f>
        <v>Expense</v>
      </c>
      <c r="F181" s="3">
        <v>45623</v>
      </c>
      <c r="G181" s="1">
        <f>MONTH(operations[[#This Row],[Date]])</f>
        <v>11</v>
      </c>
    </row>
    <row r="182" spans="1:7" x14ac:dyDescent="0.25">
      <c r="A182" s="2">
        <v>-48</v>
      </c>
      <c r="B182" s="1" t="s">
        <v>7</v>
      </c>
      <c r="C182" s="1" t="s">
        <v>8</v>
      </c>
      <c r="D182" s="1" t="s">
        <v>16</v>
      </c>
      <c r="E182" s="1" t="str">
        <f>_xlfn.XLOOKUP(operations[[#This Row],[Category]],categories[Category],categories[Type],"",0,1)</f>
        <v>Expense</v>
      </c>
      <c r="F182" s="3">
        <v>45623</v>
      </c>
      <c r="G182" s="1">
        <f>MONTH(operations[[#This Row],[Date]])</f>
        <v>11</v>
      </c>
    </row>
    <row r="183" spans="1:7" x14ac:dyDescent="0.25">
      <c r="A183" s="2">
        <v>-65</v>
      </c>
      <c r="B183" s="1" t="s">
        <v>7</v>
      </c>
      <c r="C183" s="1" t="s">
        <v>8</v>
      </c>
      <c r="D183" s="1" t="s">
        <v>24</v>
      </c>
      <c r="E183" s="1" t="str">
        <f>_xlfn.XLOOKUP(operations[[#This Row],[Category]],categories[Category],categories[Type],"",0,1)</f>
        <v>Expense</v>
      </c>
      <c r="F183" s="3">
        <v>45624</v>
      </c>
      <c r="G183" s="1">
        <f>MONTH(operations[[#This Row],[Date]])</f>
        <v>11</v>
      </c>
    </row>
    <row r="184" spans="1:7" x14ac:dyDescent="0.25">
      <c r="A184" s="2">
        <v>400</v>
      </c>
      <c r="B184" s="1" t="s">
        <v>13</v>
      </c>
      <c r="C184" s="1" t="s">
        <v>14</v>
      </c>
      <c r="D184" s="1" t="s">
        <v>29</v>
      </c>
      <c r="E184" s="1" t="str">
        <f>_xlfn.XLOOKUP(operations[[#This Row],[Category]],categories[Category],categories[Type],"",0,1)</f>
        <v>Income</v>
      </c>
      <c r="F184" s="3">
        <v>45625</v>
      </c>
      <c r="G184" s="1">
        <f>MONTH(operations[[#This Row],[Date]])</f>
        <v>11</v>
      </c>
    </row>
    <row r="185" spans="1:7" x14ac:dyDescent="0.25">
      <c r="A185" s="2">
        <v>-96</v>
      </c>
      <c r="B185" s="1" t="s">
        <v>7</v>
      </c>
      <c r="C185" s="1" t="s">
        <v>8</v>
      </c>
      <c r="D185" s="1" t="s">
        <v>17</v>
      </c>
      <c r="E185" s="1" t="str">
        <f>_xlfn.XLOOKUP(operations[[#This Row],[Category]],categories[Category],categories[Type],"",0,1)</f>
        <v>Expense</v>
      </c>
      <c r="F185" s="3">
        <v>45626</v>
      </c>
      <c r="G185" s="1">
        <f>MONTH(operations[[#This Row],[Date]])</f>
        <v>11</v>
      </c>
    </row>
    <row r="186" spans="1:7" x14ac:dyDescent="0.25">
      <c r="A186" s="2">
        <v>-50</v>
      </c>
      <c r="B186" s="1" t="s">
        <v>7</v>
      </c>
      <c r="C186" s="1" t="s">
        <v>8</v>
      </c>
      <c r="D186" s="1" t="s">
        <v>17</v>
      </c>
      <c r="E186" s="1" t="str">
        <f>_xlfn.XLOOKUP(operations[[#This Row],[Category]],categories[Category],categories[Type],"",0,1)</f>
        <v>Expense</v>
      </c>
      <c r="F186" s="3">
        <v>45627</v>
      </c>
      <c r="G186" s="1">
        <f>MONTH(operations[[#This Row],[Date]])</f>
        <v>12</v>
      </c>
    </row>
    <row r="187" spans="1:7" x14ac:dyDescent="0.25">
      <c r="A187" s="2">
        <v>-50</v>
      </c>
      <c r="B187" s="1" t="s">
        <v>7</v>
      </c>
      <c r="C187" s="1" t="s">
        <v>8</v>
      </c>
      <c r="D187" s="1" t="s">
        <v>17</v>
      </c>
      <c r="E187" s="1" t="str">
        <f>_xlfn.XLOOKUP(operations[[#This Row],[Category]],categories[Category],categories[Type],"",0,1)</f>
        <v>Expense</v>
      </c>
      <c r="F187" s="3">
        <v>45627</v>
      </c>
      <c r="G187" s="1">
        <f>MONTH(operations[[#This Row],[Date]])</f>
        <v>12</v>
      </c>
    </row>
    <row r="188" spans="1:7" x14ac:dyDescent="0.25">
      <c r="A188" s="2">
        <v>-5</v>
      </c>
      <c r="B188" s="1" t="s">
        <v>7</v>
      </c>
      <c r="C188" s="1" t="s">
        <v>8</v>
      </c>
      <c r="D188" s="1" t="s">
        <v>21</v>
      </c>
      <c r="E188" s="1" t="str">
        <f>_xlfn.XLOOKUP(operations[[#This Row],[Category]],categories[Category],categories[Type],"",0,1)</f>
        <v>Expense</v>
      </c>
      <c r="F188" s="3">
        <v>45628</v>
      </c>
      <c r="G188" s="1">
        <f>MONTH(operations[[#This Row],[Date]])</f>
        <v>12</v>
      </c>
    </row>
    <row r="189" spans="1:7" x14ac:dyDescent="0.25">
      <c r="A189" s="2">
        <v>-100</v>
      </c>
      <c r="B189" s="1" t="s">
        <v>7</v>
      </c>
      <c r="C189" s="1" t="s">
        <v>8</v>
      </c>
      <c r="D189" s="1" t="s">
        <v>24</v>
      </c>
      <c r="E189" s="1" t="str">
        <f>_xlfn.XLOOKUP(operations[[#This Row],[Category]],categories[Category],categories[Type],"",0,1)</f>
        <v>Expense</v>
      </c>
      <c r="F189" s="3">
        <v>45628</v>
      </c>
      <c r="G189" s="1">
        <f>MONTH(operations[[#This Row],[Date]])</f>
        <v>12</v>
      </c>
    </row>
    <row r="190" spans="1:7" x14ac:dyDescent="0.25">
      <c r="A190" s="2">
        <v>-60</v>
      </c>
      <c r="B190" s="1" t="s">
        <v>7</v>
      </c>
      <c r="C190" s="1" t="s">
        <v>8</v>
      </c>
      <c r="D190" s="1" t="s">
        <v>22</v>
      </c>
      <c r="E190" s="1" t="str">
        <f>_xlfn.XLOOKUP(operations[[#This Row],[Category]],categories[Category],categories[Type],"",0,1)</f>
        <v>Expense</v>
      </c>
      <c r="F190" s="3">
        <v>45628</v>
      </c>
      <c r="G190" s="1">
        <f>MONTH(operations[[#This Row],[Date]])</f>
        <v>12</v>
      </c>
    </row>
    <row r="191" spans="1:7" x14ac:dyDescent="0.25">
      <c r="A191" s="2">
        <v>-5</v>
      </c>
      <c r="B191" s="1" t="s">
        <v>7</v>
      </c>
      <c r="C191" s="1" t="s">
        <v>8</v>
      </c>
      <c r="D191" s="1" t="s">
        <v>21</v>
      </c>
      <c r="E191" s="1" t="str">
        <f>_xlfn.XLOOKUP(operations[[#This Row],[Category]],categories[Category],categories[Type],"",0,1)</f>
        <v>Expense</v>
      </c>
      <c r="F191" s="3">
        <v>45628</v>
      </c>
      <c r="G191" s="1">
        <f>MONTH(operations[[#This Row],[Date]])</f>
        <v>12</v>
      </c>
    </row>
    <row r="192" spans="1:7" x14ac:dyDescent="0.25">
      <c r="A192" s="2">
        <v>-100</v>
      </c>
      <c r="B192" s="1" t="s">
        <v>7</v>
      </c>
      <c r="C192" s="1" t="s">
        <v>8</v>
      </c>
      <c r="D192" s="1" t="s">
        <v>24</v>
      </c>
      <c r="E192" s="1" t="str">
        <f>_xlfn.XLOOKUP(operations[[#This Row],[Category]],categories[Category],categories[Type],"",0,1)</f>
        <v>Expense</v>
      </c>
      <c r="F192" s="3">
        <v>45628</v>
      </c>
      <c r="G192" s="1">
        <f>MONTH(operations[[#This Row],[Date]])</f>
        <v>12</v>
      </c>
    </row>
    <row r="193" spans="1:7" x14ac:dyDescent="0.25">
      <c r="A193" s="2">
        <v>-60</v>
      </c>
      <c r="B193" s="1" t="s">
        <v>7</v>
      </c>
      <c r="C193" s="1" t="s">
        <v>8</v>
      </c>
      <c r="D193" s="1" t="s">
        <v>22</v>
      </c>
      <c r="E193" s="1" t="str">
        <f>_xlfn.XLOOKUP(operations[[#This Row],[Category]],categories[Category],categories[Type],"",0,1)</f>
        <v>Expense</v>
      </c>
      <c r="F193" s="3">
        <v>45628</v>
      </c>
      <c r="G193" s="1">
        <f>MONTH(operations[[#This Row],[Date]])</f>
        <v>12</v>
      </c>
    </row>
    <row r="194" spans="1:7" x14ac:dyDescent="0.25">
      <c r="A194" s="2">
        <v>-150</v>
      </c>
      <c r="B194" s="1" t="s">
        <v>7</v>
      </c>
      <c r="C194" s="1" t="s">
        <v>8</v>
      </c>
      <c r="D194" s="1" t="s">
        <v>20</v>
      </c>
      <c r="E194" s="1" t="str">
        <f>_xlfn.XLOOKUP(operations[[#This Row],[Category]],categories[Category],categories[Type],"",0,1)</f>
        <v>Expense</v>
      </c>
      <c r="F194" s="3">
        <v>45629</v>
      </c>
      <c r="G194" s="1">
        <f>MONTH(operations[[#This Row],[Date]])</f>
        <v>12</v>
      </c>
    </row>
    <row r="195" spans="1:7" x14ac:dyDescent="0.25">
      <c r="A195" s="2">
        <v>-150</v>
      </c>
      <c r="B195" s="1" t="s">
        <v>7</v>
      </c>
      <c r="C195" s="1" t="s">
        <v>8</v>
      </c>
      <c r="D195" s="1" t="s">
        <v>20</v>
      </c>
      <c r="E195" s="1" t="str">
        <f>_xlfn.XLOOKUP(operations[[#This Row],[Category]],categories[Category],categories[Type],"",0,1)</f>
        <v>Expense</v>
      </c>
      <c r="F195" s="3">
        <v>45629</v>
      </c>
      <c r="G195" s="1">
        <f>MONTH(operations[[#This Row],[Date]])</f>
        <v>12</v>
      </c>
    </row>
    <row r="196" spans="1:7" x14ac:dyDescent="0.25">
      <c r="A196" s="2">
        <v>-100</v>
      </c>
      <c r="B196" s="1" t="s">
        <v>7</v>
      </c>
      <c r="C196" s="1" t="s">
        <v>8</v>
      </c>
      <c r="D196" s="1" t="s">
        <v>17</v>
      </c>
      <c r="E196" s="1" t="str">
        <f>_xlfn.XLOOKUP(operations[[#This Row],[Category]],categories[Category],categories[Type],"",0,1)</f>
        <v>Expense</v>
      </c>
      <c r="F196" s="3">
        <v>45632</v>
      </c>
      <c r="G196" s="1">
        <f>MONTH(operations[[#This Row],[Date]])</f>
        <v>12</v>
      </c>
    </row>
    <row r="197" spans="1:7" x14ac:dyDescent="0.25">
      <c r="A197" s="2">
        <v>-100</v>
      </c>
      <c r="B197" s="1" t="s">
        <v>7</v>
      </c>
      <c r="C197" s="1" t="s">
        <v>8</v>
      </c>
      <c r="D197" s="1" t="s">
        <v>17</v>
      </c>
      <c r="E197" s="1" t="str">
        <f>_xlfn.XLOOKUP(operations[[#This Row],[Category]],categories[Category],categories[Type],"",0,1)</f>
        <v>Expense</v>
      </c>
      <c r="F197" s="3">
        <v>45632</v>
      </c>
      <c r="G197" s="1">
        <f>MONTH(operations[[#This Row],[Date]])</f>
        <v>12</v>
      </c>
    </row>
    <row r="198" spans="1:7" x14ac:dyDescent="0.25">
      <c r="A198" s="2">
        <v>4500</v>
      </c>
      <c r="B198" s="1" t="s">
        <v>7</v>
      </c>
      <c r="C198" s="1" t="s">
        <v>8</v>
      </c>
      <c r="D198" s="1" t="s">
        <v>26</v>
      </c>
      <c r="E198" s="1" t="str">
        <f>_xlfn.XLOOKUP(operations[[#This Row],[Category]],categories[Category],categories[Type],"",0,1)</f>
        <v>Income</v>
      </c>
      <c r="F198" s="3">
        <v>45636</v>
      </c>
      <c r="G198" s="1">
        <f>MONTH(operations[[#This Row],[Date]])</f>
        <v>12</v>
      </c>
    </row>
    <row r="199" spans="1:7" x14ac:dyDescent="0.25">
      <c r="A199" s="2">
        <v>-2000</v>
      </c>
      <c r="B199" s="1" t="s">
        <v>7</v>
      </c>
      <c r="C199" s="1" t="s">
        <v>8</v>
      </c>
      <c r="D199" s="1" t="s">
        <v>18</v>
      </c>
      <c r="E199" s="1" t="str">
        <f>_xlfn.XLOOKUP(operations[[#This Row],[Category]],categories[Category],categories[Type],"",0,1)</f>
        <v>Expense</v>
      </c>
      <c r="F199" s="3">
        <v>45637</v>
      </c>
      <c r="G199" s="1">
        <f>MONTH(operations[[#This Row],[Date]])</f>
        <v>12</v>
      </c>
    </row>
    <row r="200" spans="1:7" x14ac:dyDescent="0.25">
      <c r="A200" s="2">
        <v>-50</v>
      </c>
      <c r="B200" s="1" t="s">
        <v>7</v>
      </c>
      <c r="C200" s="1" t="s">
        <v>8</v>
      </c>
      <c r="D200" s="1" t="s">
        <v>20</v>
      </c>
      <c r="E200" s="1" t="str">
        <f>_xlfn.XLOOKUP(operations[[#This Row],[Category]],categories[Category],categories[Type],"",0,1)</f>
        <v>Expense</v>
      </c>
      <c r="F200" s="3">
        <v>45640</v>
      </c>
      <c r="G200" s="1">
        <f>MONTH(operations[[#This Row],[Date]])</f>
        <v>12</v>
      </c>
    </row>
    <row r="201" spans="1:7" x14ac:dyDescent="0.25">
      <c r="A201" s="2">
        <v>-100</v>
      </c>
      <c r="B201" s="1" t="s">
        <v>7</v>
      </c>
      <c r="C201" s="1" t="s">
        <v>8</v>
      </c>
      <c r="D201" s="1" t="s">
        <v>23</v>
      </c>
      <c r="E201" s="1" t="str">
        <f>_xlfn.XLOOKUP(operations[[#This Row],[Category]],categories[Category],categories[Type],"",0,1)</f>
        <v>Expense</v>
      </c>
      <c r="F201" s="3">
        <v>45641</v>
      </c>
      <c r="G201" s="1">
        <f>MONTH(operations[[#This Row],[Date]])</f>
        <v>12</v>
      </c>
    </row>
    <row r="202" spans="1:7" x14ac:dyDescent="0.25">
      <c r="A202" s="2">
        <v>-100</v>
      </c>
      <c r="B202" s="1" t="s">
        <v>7</v>
      </c>
      <c r="C202" s="1" t="s">
        <v>8</v>
      </c>
      <c r="D202" s="1" t="s">
        <v>17</v>
      </c>
      <c r="E202" s="1" t="str">
        <f>_xlfn.XLOOKUP(operations[[#This Row],[Category]],categories[Category],categories[Type],"",0,1)</f>
        <v>Expense</v>
      </c>
      <c r="F202" s="3">
        <v>45644</v>
      </c>
      <c r="G202" s="1">
        <f>MONTH(operations[[#This Row],[Date]])</f>
        <v>12</v>
      </c>
    </row>
    <row r="203" spans="1:7" x14ac:dyDescent="0.25">
      <c r="A203" s="2">
        <v>500</v>
      </c>
      <c r="B203" s="1" t="s">
        <v>13</v>
      </c>
      <c r="C203" s="1" t="s">
        <v>14</v>
      </c>
      <c r="D203" s="1" t="s">
        <v>29</v>
      </c>
      <c r="E203" s="1" t="str">
        <f>_xlfn.XLOOKUP(operations[[#This Row],[Category]],categories[Category],categories[Type],"",0,1)</f>
        <v>Income</v>
      </c>
      <c r="F203" s="3">
        <v>45648</v>
      </c>
      <c r="G203" s="1">
        <f>MONTH(operations[[#This Row],[Date]])</f>
        <v>12</v>
      </c>
    </row>
    <row r="204" spans="1:7" x14ac:dyDescent="0.25">
      <c r="A204" s="2">
        <v>-100</v>
      </c>
      <c r="B204" s="1" t="s">
        <v>13</v>
      </c>
      <c r="C204" s="1" t="s">
        <v>14</v>
      </c>
      <c r="D204" s="1" t="s">
        <v>20</v>
      </c>
      <c r="E204" s="1" t="str">
        <f>_xlfn.XLOOKUP(operations[[#This Row],[Category]],categories[Category],categories[Type],"",0,1)</f>
        <v>Expense</v>
      </c>
      <c r="F204" s="3">
        <v>45649</v>
      </c>
      <c r="G204" s="1">
        <f>MONTH(operations[[#This Row],[Date]])</f>
        <v>12</v>
      </c>
    </row>
    <row r="205" spans="1:7" x14ac:dyDescent="0.25">
      <c r="A205" s="2">
        <v>1500</v>
      </c>
      <c r="B205" s="1" t="s">
        <v>13</v>
      </c>
      <c r="C205" s="1" t="s">
        <v>14</v>
      </c>
      <c r="D205" s="1" t="s">
        <v>29</v>
      </c>
      <c r="E205" s="1" t="str">
        <f>_xlfn.XLOOKUP(operations[[#This Row],[Category]],categories[Category],categories[Type],"",0,1)</f>
        <v>Income</v>
      </c>
      <c r="F205" s="3">
        <v>45650</v>
      </c>
      <c r="G205" s="1">
        <f>MONTH(operations[[#This Row],[Date]])</f>
        <v>12</v>
      </c>
    </row>
    <row r="206" spans="1:7" x14ac:dyDescent="0.25">
      <c r="A206" s="2">
        <v>-500</v>
      </c>
      <c r="B206" s="1" t="s">
        <v>13</v>
      </c>
      <c r="C206" s="1" t="s">
        <v>14</v>
      </c>
      <c r="D206" s="1" t="s">
        <v>24</v>
      </c>
      <c r="E206" s="1" t="str">
        <f>_xlfn.XLOOKUP(operations[[#This Row],[Category]],categories[Category],categories[Type],"",0,1)</f>
        <v>Expense</v>
      </c>
      <c r="F206" s="3">
        <v>45654</v>
      </c>
      <c r="G206" s="1">
        <f>MONTH(operations[[#This Row],[Date]])</f>
        <v>12</v>
      </c>
    </row>
    <row r="207" spans="1:7" x14ac:dyDescent="0.25">
      <c r="A207" s="2">
        <v>-300</v>
      </c>
      <c r="B207" s="1" t="s">
        <v>13</v>
      </c>
      <c r="C207" s="1" t="s">
        <v>14</v>
      </c>
      <c r="D207" s="1" t="s">
        <v>17</v>
      </c>
      <c r="E207" s="1" t="str">
        <f>_xlfn.XLOOKUP(operations[[#This Row],[Category]],categories[Category],categories[Type],"",0,1)</f>
        <v>Expense</v>
      </c>
      <c r="F207" s="3">
        <v>45656</v>
      </c>
      <c r="G207" s="1">
        <f>MONTH(operations[[#This Row],[Date]])</f>
        <v>12</v>
      </c>
    </row>
    <row r="208" spans="1:7" x14ac:dyDescent="0.25">
      <c r="A208" s="2">
        <v>1020</v>
      </c>
      <c r="B208" s="1" t="s">
        <v>7</v>
      </c>
      <c r="C208" s="1" t="s">
        <v>8</v>
      </c>
      <c r="D208" s="1" t="s">
        <v>31</v>
      </c>
      <c r="E208" s="11" t="str">
        <f>_xlfn.XLOOKUP(operations[[#This Row],[Category]],categories[Category],categories[Type],"",0,1)</f>
        <v>Transfer</v>
      </c>
      <c r="F208" s="3">
        <v>45505</v>
      </c>
      <c r="G208" s="11">
        <f>MONTH(operations[[#This Row],[Date]])</f>
        <v>8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4D0003B-B233-4E9E-9460-39BAF2F3FFE3}">
          <x14:formula1>
            <xm:f>dictionary!$A$2:$A$17</xm:f>
          </x14:formula1>
          <xm:sqref>D2:D1048576</xm:sqref>
        </x14:dataValidation>
        <x14:dataValidation type="list" allowBlank="1" showInputMessage="1" showErrorMessage="1" xr:uid="{CE3B4081-1B82-4B24-BE23-988CB2856903}">
          <x14:formula1>
            <xm:f>dictionary!$G$1:$I$1</xm:f>
          </x14:formula1>
          <xm:sqref>B2:B1048576</xm:sqref>
        </x14:dataValidation>
        <x14:dataValidation type="list" allowBlank="1" showInputMessage="1" showErrorMessage="1" xr:uid="{088F2970-0926-4991-A0E2-7B9EA73309E2}">
          <x14:formula1>
            <xm:f>CHOOSE(MATCH(B2,dictionary!$G$1:$I$1,),_xlfn._TRO_TRAILING(dictionary!$G$2:$G$8),_xlfn._TRO_TRAILING(dictionary!$H$2:$H$8),_xlfn._TRO_TRAILING(dictionary!$I$2:$I$8))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25AA3-490E-4BC3-8DD9-B7E395DDE711}">
  <sheetPr codeName="Sheet6"/>
  <dimension ref="A1:N9"/>
  <sheetViews>
    <sheetView workbookViewId="0">
      <selection activeCell="S7" sqref="S7"/>
    </sheetView>
  </sheetViews>
  <sheetFormatPr defaultRowHeight="15" x14ac:dyDescent="0.25"/>
  <cols>
    <col min="1" max="1" width="10" bestFit="1" customWidth="1"/>
    <col min="2" max="2" width="16.28515625" bestFit="1" customWidth="1"/>
    <col min="3" max="11" width="4.28515625" bestFit="1" customWidth="1"/>
    <col min="12" max="14" width="5.28515625" bestFit="1" customWidth="1"/>
  </cols>
  <sheetData>
    <row r="1" spans="1:14" x14ac:dyDescent="0.25">
      <c r="A1" t="s">
        <v>0</v>
      </c>
      <c r="B1" t="s">
        <v>2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</row>
    <row r="2" spans="1:14" x14ac:dyDescent="0.25">
      <c r="A2" t="s">
        <v>11</v>
      </c>
      <c r="B2" t="s">
        <v>8</v>
      </c>
      <c r="C2" s="6" cm="1">
        <f t="array" ref="C2">SUMIFS(operations[[Amount]:[Amount]],operations[[Bank]:[Bank]],flows[[#This Row],[Bank]:[Bank]],operations[[Month]:[Month]],flows[[#Headers],[1]],operations[[Product]:[Product]],flows[[#This Row],[Product]:[Product]])</f>
        <v>-35</v>
      </c>
      <c r="D2" s="6" cm="1">
        <f t="array" ref="D2">SUMIFS(operations[[Amount]:[Amount]],operations[[Bank]:[Bank]],flows[[#This Row],[Bank]:[Bank]],operations[[Month]:[Month]],flows[[#Headers],[2]],operations[[Product]:[Product]],flows[[#This Row],[Product]:[Product]])</f>
        <v>35</v>
      </c>
      <c r="E2" s="6" cm="1">
        <f t="array" ref="E2">SUMIFS(operations[[Amount]:[Amount]],operations[[Bank]:[Bank]],flows[[#This Row],[Bank]:[Bank]],operations[[Month]:[Month]],flows[[#Headers],[3]],operations[[Product]:[Product]],flows[[#This Row],[Product]:[Product]])</f>
        <v>67.5</v>
      </c>
      <c r="F2" s="6" cm="1">
        <f t="array" ref="F2">SUMIFS(operations[[Amount]:[Amount]],operations[[Bank]:[Bank]],flows[[#This Row],[Bank]:[Bank]],operations[[Month]:[Month]],flows[[#Headers],[4]],operations[[Product]:[Product]],flows[[#This Row],[Product]:[Product]])</f>
        <v>101</v>
      </c>
      <c r="G2" s="6" cm="1">
        <f t="array" ref="G2">SUMIFS(operations[[Amount]:[Amount]],operations[[Bank]:[Bank]],flows[[#This Row],[Bank]:[Bank]],operations[[Month]:[Month]],flows[[#Headers],[5]],operations[[Product]:[Product]],flows[[#This Row],[Product]:[Product]])</f>
        <v>-50</v>
      </c>
      <c r="H2" s="6" cm="1">
        <f t="array" ref="H2">SUMIFS(operations[[Amount]:[Amount]],operations[[Bank]:[Bank]],flows[[#This Row],[Bank]:[Bank]],operations[[Month]:[Month]],flows[[#Headers],[6]],operations[[Product]:[Product]],flows[[#This Row],[Product]:[Product]])</f>
        <v>250</v>
      </c>
      <c r="I2" s="6" cm="1">
        <f t="array" ref="I2">SUMIFS(operations[[Amount]:[Amount]],operations[[Bank]:[Bank]],flows[[#This Row],[Bank]:[Bank]],operations[[Month]:[Month]],flows[[#Headers],[7]],operations[[Product]:[Product]],flows[[#This Row],[Product]:[Product]])</f>
        <v>-100</v>
      </c>
      <c r="J2" s="6" cm="1">
        <f t="array" ref="J2">SUMIFS(operations[[Amount]:[Amount]],operations[[Bank]:[Bank]],flows[[#This Row],[Bank]:[Bank]],operations[[Month]:[Month]],flows[[#Headers],[8]],operations[[Product]:[Product]],flows[[#This Row],[Product]:[Product]])</f>
        <v>200</v>
      </c>
      <c r="K2" s="6" cm="1">
        <f t="array" ref="K2">SUMIFS(operations[[Amount]:[Amount]],operations[[Bank]:[Bank]],flows[[#This Row],[Bank]:[Bank]],operations[[Month]:[Month]],flows[[#Headers],[9]],operations[[Product]:[Product]],flows[[#This Row],[Product]:[Product]])</f>
        <v>-20</v>
      </c>
      <c r="L2" s="6" cm="1">
        <f t="array" ref="L2">SUMIFS(operations[[Amount]:[Amount]],operations[[Bank]:[Bank]],flows[[#This Row],[Bank]:[Bank]],operations[[Month]:[Month]],flows[[#Headers],[10]],operations[[Product]:[Product]],flows[[#This Row],[Product]:[Product]])</f>
        <v>0</v>
      </c>
      <c r="M2" s="6" cm="1">
        <f t="array" ref="M2">SUMIFS(operations[[Amount]:[Amount]],operations[[Bank]:[Bank]],flows[[#This Row],[Bank]:[Bank]],operations[[Month]:[Month]],flows[[#Headers],[11]],operations[[Product]:[Product]],flows[[#This Row],[Product]:[Product]])</f>
        <v>0</v>
      </c>
      <c r="N2" s="6" cm="1">
        <f t="array" ref="N2">SUMIFS(operations[[Amount]:[Amount]],operations[[Bank]:[Bank]],flows[[#This Row],[Bank]:[Bank]],operations[[Month]:[Month]],flows[[#Headers],[2]],operations[[Product]:[Product]],flows[[#This Row],[Product]:[Product]])</f>
        <v>35</v>
      </c>
    </row>
    <row r="3" spans="1:14" x14ac:dyDescent="0.25">
      <c r="A3" t="s">
        <v>11</v>
      </c>
      <c r="B3" t="s">
        <v>12</v>
      </c>
      <c r="C3" s="6" cm="1">
        <f t="array" ref="C3">SUMIFS(operations[[Amount]:[Amount]],operations[[Bank]:[Bank]],flows[[#This Row],[Bank]:[Bank]],operations[[Month]:[Month]],flows[[#Headers],[1]],operations[[Product]:[Product]],flows[[#This Row],[Product]:[Product]])</f>
        <v>255.5</v>
      </c>
      <c r="D3" s="6" cm="1">
        <f t="array" ref="D3">SUMIFS(operations[[Amount]:[Amount]],operations[[Bank]:[Bank]],flows[[#This Row],[Bank]:[Bank]],operations[[Month]:[Month]],flows[[#Headers],[2]],operations[[Product]:[Product]],flows[[#This Row],[Product]:[Product]])</f>
        <v>15</v>
      </c>
      <c r="E3" s="6" cm="1">
        <f t="array" ref="E3">SUMIFS(operations[[Amount]:[Amount]],operations[[Bank]:[Bank]],flows[[#This Row],[Bank]:[Bank]],operations[[Month]:[Month]],flows[[#Headers],[3]],operations[[Product]:[Product]],flows[[#This Row],[Product]:[Product]])</f>
        <v>5</v>
      </c>
      <c r="F3" s="6" cm="1">
        <f t="array" ref="F3">SUMIFS(operations[[Amount]:[Amount]],operations[[Bank]:[Bank]],flows[[#This Row],[Bank]:[Bank]],operations[[Month]:[Month]],flows[[#Headers],[4]],operations[[Product]:[Product]],flows[[#This Row],[Product]:[Product]])</f>
        <v>50</v>
      </c>
      <c r="G3" s="6" cm="1">
        <f t="array" ref="G3">SUMIFS(operations[[Amount]:[Amount]],operations[[Bank]:[Bank]],flows[[#This Row],[Bank]:[Bank]],operations[[Month]:[Month]],flows[[#Headers],[5]],operations[[Product]:[Product]],flows[[#This Row],[Product]:[Product]])</f>
        <v>0</v>
      </c>
      <c r="H3" s="6" cm="1">
        <f t="array" ref="H3">SUMIFS(operations[[Amount]:[Amount]],operations[[Bank]:[Bank]],flows[[#This Row],[Bank]:[Bank]],operations[[Month]:[Month]],flows[[#Headers],[6]],operations[[Product]:[Product]],flows[[#This Row],[Product]:[Product]])</f>
        <v>0</v>
      </c>
      <c r="I3" s="6" cm="1">
        <f t="array" ref="I3">SUMIFS(operations[[Amount]:[Amount]],operations[[Bank]:[Bank]],flows[[#This Row],[Bank]:[Bank]],operations[[Month]:[Month]],flows[[#Headers],[7]],operations[[Product]:[Product]],flows[[#This Row],[Product]:[Product]])</f>
        <v>1050</v>
      </c>
      <c r="J3" s="6" cm="1">
        <f t="array" ref="J3">SUMIFS(operations[[Amount]:[Amount]],operations[[Bank]:[Bank]],flows[[#This Row],[Bank]:[Bank]],operations[[Month]:[Month]],flows[[#Headers],[8]],operations[[Product]:[Product]],flows[[#This Row],[Product]:[Product]])</f>
        <v>-300</v>
      </c>
      <c r="K3" s="6" cm="1">
        <f t="array" ref="K3">SUMIFS(operations[[Amount]:[Amount]],operations[[Bank]:[Bank]],flows[[#This Row],[Bank]:[Bank]],operations[[Month]:[Month]],flows[[#Headers],[9]],operations[[Product]:[Product]],flows[[#This Row],[Product]:[Product]])</f>
        <v>0</v>
      </c>
      <c r="L3" s="6" cm="1">
        <f t="array" ref="L3">SUMIFS(operations[[Amount]:[Amount]],operations[[Bank]:[Bank]],flows[[#This Row],[Bank]:[Bank]],operations[[Month]:[Month]],flows[[#Headers],[10]],operations[[Product]:[Product]],flows[[#This Row],[Product]:[Product]])</f>
        <v>0</v>
      </c>
      <c r="M3" s="6" cm="1">
        <f t="array" ref="M3">SUMIFS(operations[[Amount]:[Amount]],operations[[Bank]:[Bank]],flows[[#This Row],[Bank]:[Bank]],operations[[Month]:[Month]],flows[[#Headers],[11]],operations[[Product]:[Product]],flows[[#This Row],[Product]:[Product]])</f>
        <v>0</v>
      </c>
      <c r="N3" s="6" cm="1">
        <f t="array" ref="N3">SUMIFS(operations[[Amount]:[Amount]],operations[[Bank]:[Bank]],flows[[#This Row],[Bank]:[Bank]],operations[[Month]:[Month]],flows[[#Headers],[2]],operations[[Product]:[Product]],flows[[#This Row],[Product]:[Product]])</f>
        <v>15</v>
      </c>
    </row>
    <row r="4" spans="1:14" x14ac:dyDescent="0.25">
      <c r="A4" t="s">
        <v>7</v>
      </c>
      <c r="B4" t="s">
        <v>8</v>
      </c>
      <c r="C4" s="6" cm="1">
        <f t="array" ref="C4">SUMIFS(operations[[Amount]:[Amount]],operations[[Bank]:[Bank]],flows[[#This Row],[Bank]:[Bank]],operations[[Month]:[Month]],flows[[#Headers],[1]],operations[[Product]:[Product]],flows[[#This Row],[Product]:[Product]])</f>
        <v>1100</v>
      </c>
      <c r="D4" s="6" cm="1">
        <f t="array" ref="D4">SUMIFS(operations[[Amount]:[Amount]],operations[[Bank]:[Bank]],flows[[#This Row],[Bank]:[Bank]],operations[[Month]:[Month]],flows[[#Headers],[2]],operations[[Product]:[Product]],flows[[#This Row],[Product]:[Product]])</f>
        <v>2039.5</v>
      </c>
      <c r="E4" s="6" cm="1">
        <f t="array" ref="E4">SUMIFS(operations[[Amount]:[Amount]],operations[[Bank]:[Bank]],flows[[#This Row],[Bank]:[Bank]],operations[[Month]:[Month]],flows[[#Headers],[3]],operations[[Product]:[Product]],flows[[#This Row],[Product]:[Product]])</f>
        <v>821.59999999999991</v>
      </c>
      <c r="F4" s="6" cm="1">
        <f t="array" ref="F4">SUMIFS(operations[[Amount]:[Amount]],operations[[Bank]:[Bank]],flows[[#This Row],[Bank]:[Bank]],operations[[Month]:[Month]],flows[[#Headers],[4]],operations[[Product]:[Product]],flows[[#This Row],[Product]:[Product]])</f>
        <v>562.72999999999968</v>
      </c>
      <c r="G4" s="6" cm="1">
        <f t="array" ref="G4">SUMIFS(operations[[Amount]:[Amount]],operations[[Bank]:[Bank]],flows[[#This Row],[Bank]:[Bank]],operations[[Month]:[Month]],flows[[#Headers],[5]],operations[[Product]:[Product]],flows[[#This Row],[Product]:[Product]])</f>
        <v>2328.61</v>
      </c>
      <c r="H4" s="6" cm="1">
        <f t="array" ref="H4">SUMIFS(operations[[Amount]:[Amount]],operations[[Bank]:[Bank]],flows[[#This Row],[Bank]:[Bank]],operations[[Month]:[Month]],flows[[#Headers],[6]],operations[[Product]:[Product]],flows[[#This Row],[Product]:[Product]])</f>
        <v>1420</v>
      </c>
      <c r="I4" s="6" cm="1">
        <f t="array" ref="I4">SUMIFS(operations[[Amount]:[Amount]],operations[[Bank]:[Bank]],flows[[#This Row],[Bank]:[Bank]],operations[[Month]:[Month]],flows[[#Headers],[7]],operations[[Product]:[Product]],flows[[#This Row],[Product]:[Product]])</f>
        <v>1010</v>
      </c>
      <c r="J4" s="6" cm="1">
        <f t="array" ref="J4">SUMIFS(operations[[Amount]:[Amount]],operations[[Bank]:[Bank]],flows[[#This Row],[Bank]:[Bank]],operations[[Month]:[Month]],flows[[#Headers],[8]],operations[[Product]:[Product]],flows[[#This Row],[Product]:[Product]])</f>
        <v>2495</v>
      </c>
      <c r="K4" s="6" cm="1">
        <f t="array" ref="K4">SUMIFS(operations[[Amount]:[Amount]],operations[[Bank]:[Bank]],flows[[#This Row],[Bank]:[Bank]],operations[[Month]:[Month]],flows[[#Headers],[9]],operations[[Product]:[Product]],flows[[#This Row],[Product]:[Product]])</f>
        <v>1689.5</v>
      </c>
      <c r="L4" s="6" cm="1">
        <f t="array" ref="L4">SUMIFS(operations[[Amount]:[Amount]],operations[[Bank]:[Bank]],flows[[#This Row],[Bank]:[Bank]],operations[[Month]:[Month]],flows[[#Headers],[10]],operations[[Product]:[Product]],flows[[#This Row],[Product]:[Product]])</f>
        <v>1690</v>
      </c>
      <c r="M4" s="6" cm="1">
        <f t="array" ref="M4">SUMIFS(operations[[Amount]:[Amount]],operations[[Bank]:[Bank]],flows[[#This Row],[Bank]:[Bank]],operations[[Month]:[Month]],flows[[#Headers],[11]],operations[[Product]:[Product]],flows[[#This Row],[Product]:[Product]])</f>
        <v>960</v>
      </c>
      <c r="N4" s="6" cm="1">
        <f t="array" ref="N4">SUMIFS(operations[[Amount]:[Amount]],operations[[Bank]:[Bank]],flows[[#This Row],[Bank]:[Bank]],operations[[Month]:[Month]],flows[[#Headers],[2]],operations[[Product]:[Product]],flows[[#This Row],[Product]:[Product]])</f>
        <v>2039.5</v>
      </c>
    </row>
    <row r="5" spans="1:14" x14ac:dyDescent="0.25">
      <c r="A5" t="s">
        <v>7</v>
      </c>
      <c r="B5" t="s">
        <v>9</v>
      </c>
      <c r="C5" s="6" cm="1">
        <f t="array" ref="C5">SUMIFS(operations[[Amount]:[Amount]],operations[[Bank]:[Bank]],flows[[#This Row],[Bank]:[Bank]],operations[[Month]:[Month]],flows[[#Headers],[1]],operations[[Product]:[Product]],flows[[#This Row],[Product]:[Product]])</f>
        <v>-175</v>
      </c>
      <c r="D5" s="6" cm="1">
        <f t="array" ref="D5">SUMIFS(operations[[Amount]:[Amount]],operations[[Bank]:[Bank]],flows[[#This Row],[Bank]:[Bank]],operations[[Month]:[Month]],flows[[#Headers],[2]],operations[[Product]:[Product]],flows[[#This Row],[Product]:[Product]])</f>
        <v>175</v>
      </c>
      <c r="E5" s="6" cm="1">
        <f t="array" ref="E5">SUMIFS(operations[[Amount]:[Amount]],operations[[Bank]:[Bank]],flows[[#This Row],[Bank]:[Bank]],operations[[Month]:[Month]],flows[[#Headers],[3]],operations[[Product]:[Product]],flows[[#This Row],[Product]:[Product]])</f>
        <v>-104.5</v>
      </c>
      <c r="F5" s="6" cm="1">
        <f t="array" ref="F5">SUMIFS(operations[[Amount]:[Amount]],operations[[Bank]:[Bank]],flows[[#This Row],[Bank]:[Bank]],operations[[Month]:[Month]],flows[[#Headers],[4]],operations[[Product]:[Product]],flows[[#This Row],[Product]:[Product]])</f>
        <v>13.110000000000007</v>
      </c>
      <c r="G5" s="6" cm="1">
        <f t="array" ref="G5">SUMIFS(operations[[Amount]:[Amount]],operations[[Bank]:[Bank]],flows[[#This Row],[Bank]:[Bank]],operations[[Month]:[Month]],flows[[#Headers],[5]],operations[[Product]:[Product]],flows[[#This Row],[Product]:[Product]])</f>
        <v>-908.61</v>
      </c>
      <c r="H5" s="6" cm="1">
        <f t="array" ref="H5">SUMIFS(operations[[Amount]:[Amount]],operations[[Bank]:[Bank]],flows[[#This Row],[Bank]:[Bank]],operations[[Month]:[Month]],flows[[#Headers],[6]],operations[[Product]:[Product]],flows[[#This Row],[Product]:[Product]])</f>
        <v>-300</v>
      </c>
      <c r="I5" s="6" cm="1">
        <f t="array" ref="I5">SUMIFS(operations[[Amount]:[Amount]],operations[[Bank]:[Bank]],flows[[#This Row],[Bank]:[Bank]],operations[[Month]:[Month]],flows[[#Headers],[7]],operations[[Product]:[Product]],flows[[#This Row],[Product]:[Product]])</f>
        <v>1165</v>
      </c>
      <c r="J5" s="6" cm="1">
        <f t="array" ref="J5">SUMIFS(operations[[Amount]:[Amount]],operations[[Bank]:[Bank]],flows[[#This Row],[Bank]:[Bank]],operations[[Month]:[Month]],flows[[#Headers],[8]],operations[[Product]:[Product]],flows[[#This Row],[Product]:[Product]])</f>
        <v>33</v>
      </c>
      <c r="K5" s="6" cm="1">
        <f t="array" ref="K5">SUMIFS(operations[[Amount]:[Amount]],operations[[Bank]:[Bank]],flows[[#This Row],[Bank]:[Bank]],operations[[Month]:[Month]],flows[[#Headers],[9]],operations[[Product]:[Product]],flows[[#This Row],[Product]:[Product]])</f>
        <v>82</v>
      </c>
      <c r="L5" s="6" cm="1">
        <f t="array" ref="L5">SUMIFS(operations[[Amount]:[Amount]],operations[[Bank]:[Bank]],flows[[#This Row],[Bank]:[Bank]],operations[[Month]:[Month]],flows[[#Headers],[10]],operations[[Product]:[Product]],flows[[#This Row],[Product]:[Product]])</f>
        <v>-20</v>
      </c>
      <c r="M5" s="6" cm="1">
        <f t="array" ref="M5">SUMIFS(operations[[Amount]:[Amount]],operations[[Bank]:[Bank]],flows[[#This Row],[Bank]:[Bank]],operations[[Month]:[Month]],flows[[#Headers],[11]],operations[[Product]:[Product]],flows[[#This Row],[Product]:[Product]])</f>
        <v>40</v>
      </c>
      <c r="N5" s="6" cm="1">
        <f t="array" ref="N5">SUMIFS(operations[[Amount]:[Amount]],operations[[Bank]:[Bank]],flows[[#This Row],[Bank]:[Bank]],operations[[Month]:[Month]],flows[[#Headers],[2]],operations[[Product]:[Product]],flows[[#This Row],[Product]:[Product]])</f>
        <v>175</v>
      </c>
    </row>
    <row r="6" spans="1:14" x14ac:dyDescent="0.25">
      <c r="A6" t="s">
        <v>7</v>
      </c>
      <c r="B6" t="s">
        <v>10</v>
      </c>
      <c r="C6" s="6" cm="1">
        <f t="array" ref="C6">SUMIFS(operations[[Amount]:[Amount]],operations[[Bank]:[Bank]],flows[[#This Row],[Bank]:[Bank]],operations[[Month]:[Month]],flows[[#Headers],[1]],operations[[Product]:[Product]],flows[[#This Row],[Product]:[Product]])</f>
        <v>-400</v>
      </c>
      <c r="D6" s="6" cm="1">
        <f t="array" ref="D6">SUMIFS(operations[[Amount]:[Amount]],operations[[Bank]:[Bank]],flows[[#This Row],[Bank]:[Bank]],operations[[Month]:[Month]],flows[[#Headers],[2]],operations[[Product]:[Product]],flows[[#This Row],[Product]:[Product]])</f>
        <v>-400</v>
      </c>
      <c r="E6" s="6" cm="1">
        <f t="array" ref="E6">SUMIFS(operations[[Amount]:[Amount]],operations[[Bank]:[Bank]],flows[[#This Row],[Bank]:[Bank]],operations[[Month]:[Month]],flows[[#Headers],[3]],operations[[Product]:[Product]],flows[[#This Row],[Product]:[Product]])</f>
        <v>0</v>
      </c>
      <c r="F6" s="6" cm="1">
        <f t="array" ref="F6">SUMIFS(operations[[Amount]:[Amount]],operations[[Bank]:[Bank]],flows[[#This Row],[Bank]:[Bank]],operations[[Month]:[Month]],flows[[#Headers],[4]],operations[[Product]:[Product]],flows[[#This Row],[Product]:[Product]])</f>
        <v>0</v>
      </c>
      <c r="G6" s="6" cm="1">
        <f t="array" ref="G6">SUMIFS(operations[[Amount]:[Amount]],operations[[Bank]:[Bank]],flows[[#This Row],[Bank]:[Bank]],operations[[Month]:[Month]],flows[[#Headers],[5]],operations[[Product]:[Product]],flows[[#This Row],[Product]:[Product]])</f>
        <v>0</v>
      </c>
      <c r="H6" s="6" cm="1">
        <f t="array" ref="H6">SUMIFS(operations[[Amount]:[Amount]],operations[[Bank]:[Bank]],flows[[#This Row],[Bank]:[Bank]],operations[[Month]:[Month]],flows[[#Headers],[6]],operations[[Product]:[Product]],flows[[#This Row],[Product]:[Product]])</f>
        <v>0</v>
      </c>
      <c r="I6" s="6" cm="1">
        <f t="array" ref="I6">SUMIFS(operations[[Amount]:[Amount]],operations[[Bank]:[Bank]],flows[[#This Row],[Bank]:[Bank]],operations[[Month]:[Month]],flows[[#Headers],[7]],operations[[Product]:[Product]],flows[[#This Row],[Product]:[Product]])</f>
        <v>-180</v>
      </c>
      <c r="J6" s="6" cm="1">
        <f t="array" ref="J6">SUMIFS(operations[[Amount]:[Amount]],operations[[Bank]:[Bank]],flows[[#This Row],[Bank]:[Bank]],operations[[Month]:[Month]],flows[[#Headers],[8]],operations[[Product]:[Product]],flows[[#This Row],[Product]:[Product]])</f>
        <v>-1020</v>
      </c>
      <c r="K6" s="6" cm="1">
        <f t="array" ref="K6">SUMIFS(operations[[Amount]:[Amount]],operations[[Bank]:[Bank]],flows[[#This Row],[Bank]:[Bank]],operations[[Month]:[Month]],flows[[#Headers],[9]],operations[[Product]:[Product]],flows[[#This Row],[Product]:[Product]])</f>
        <v>0</v>
      </c>
      <c r="L6" s="6" cm="1">
        <f t="array" ref="L6">SUMIFS(operations[[Amount]:[Amount]],operations[[Bank]:[Bank]],flows[[#This Row],[Bank]:[Bank]],operations[[Month]:[Month]],flows[[#Headers],[10]],operations[[Product]:[Product]],flows[[#This Row],[Product]:[Product]])</f>
        <v>0</v>
      </c>
      <c r="M6" s="6" cm="1">
        <f t="array" ref="M6">SUMIFS(operations[[Amount]:[Amount]],operations[[Bank]:[Bank]],flows[[#This Row],[Bank]:[Bank]],operations[[Month]:[Month]],flows[[#Headers],[11]],operations[[Product]:[Product]],flows[[#This Row],[Product]:[Product]])</f>
        <v>0</v>
      </c>
      <c r="N6" s="6" cm="1">
        <f t="array" ref="N6">SUMIFS(operations[[Amount]:[Amount]],operations[[Bank]:[Bank]],flows[[#This Row],[Bank]:[Bank]],operations[[Month]:[Month]],flows[[#Headers],[2]],operations[[Product]:[Product]],flows[[#This Row],[Product]:[Product]])</f>
        <v>-400</v>
      </c>
    </row>
    <row r="7" spans="1:14" x14ac:dyDescent="0.25">
      <c r="A7" t="s">
        <v>13</v>
      </c>
      <c r="B7" t="s">
        <v>15</v>
      </c>
      <c r="C7" s="6" cm="1">
        <f t="array" ref="C7">SUMIFS(operations[[Amount]:[Amount]],operations[[Bank]:[Bank]],flows[[#This Row],[Bank]:[Bank]],operations[[Month]:[Month]],flows[[#Headers],[1]],operations[[Product]:[Product]],flows[[#This Row],[Product]:[Product]])</f>
        <v>-50</v>
      </c>
      <c r="D7" s="6" cm="1">
        <f t="array" ref="D7">SUMIFS(operations[[Amount]:[Amount]],operations[[Bank]:[Bank]],flows[[#This Row],[Bank]:[Bank]],operations[[Month]:[Month]],flows[[#Headers],[2]],operations[[Product]:[Product]],flows[[#This Row],[Product]:[Product]])</f>
        <v>100</v>
      </c>
      <c r="E7" s="6" cm="1">
        <f t="array" ref="E7">SUMIFS(operations[[Amount]:[Amount]],operations[[Bank]:[Bank]],flows[[#This Row],[Bank]:[Bank]],operations[[Month]:[Month]],flows[[#Headers],[3]],operations[[Product]:[Product]],flows[[#This Row],[Product]:[Product]])</f>
        <v>-24.49</v>
      </c>
      <c r="F7" s="6" cm="1">
        <f t="array" ref="F7">SUMIFS(operations[[Amount]:[Amount]],operations[[Bank]:[Bank]],flows[[#This Row],[Bank]:[Bank]],operations[[Month]:[Month]],flows[[#Headers],[4]],operations[[Product]:[Product]],flows[[#This Row],[Product]:[Product]])</f>
        <v>0</v>
      </c>
      <c r="G7" s="6" cm="1">
        <f t="array" ref="G7">SUMIFS(operations[[Amount]:[Amount]],operations[[Bank]:[Bank]],flows[[#This Row],[Bank]:[Bank]],operations[[Month]:[Month]],flows[[#Headers],[5]],operations[[Product]:[Product]],flows[[#This Row],[Product]:[Product]])</f>
        <v>0</v>
      </c>
      <c r="H7" s="6" cm="1">
        <f t="array" ref="H7">SUMIFS(operations[[Amount]:[Amount]],operations[[Bank]:[Bank]],flows[[#This Row],[Bank]:[Bank]],operations[[Month]:[Month]],flows[[#Headers],[6]],operations[[Product]:[Product]],flows[[#This Row],[Product]:[Product]])</f>
        <v>0</v>
      </c>
      <c r="I7" s="6" cm="1">
        <f t="array" ref="I7">SUMIFS(operations[[Amount]:[Amount]],operations[[Bank]:[Bank]],flows[[#This Row],[Bank]:[Bank]],operations[[Month]:[Month]],flows[[#Headers],[7]],operations[[Product]:[Product]],flows[[#This Row],[Product]:[Product]])</f>
        <v>-30</v>
      </c>
      <c r="J7" s="6" cm="1">
        <f t="array" ref="J7">SUMIFS(operations[[Amount]:[Amount]],operations[[Bank]:[Bank]],flows[[#This Row],[Bank]:[Bank]],operations[[Month]:[Month]],flows[[#Headers],[8]],operations[[Product]:[Product]],flows[[#This Row],[Product]:[Product]])</f>
        <v>0</v>
      </c>
      <c r="K7" s="6" cm="1">
        <f t="array" ref="K7">SUMIFS(operations[[Amount]:[Amount]],operations[[Bank]:[Bank]],flows[[#This Row],[Bank]:[Bank]],operations[[Month]:[Month]],flows[[#Headers],[9]],operations[[Product]:[Product]],flows[[#This Row],[Product]:[Product]])</f>
        <v>0</v>
      </c>
      <c r="L7" s="6" cm="1">
        <f t="array" ref="L7">SUMIFS(operations[[Amount]:[Amount]],operations[[Bank]:[Bank]],flows[[#This Row],[Bank]:[Bank]],operations[[Month]:[Month]],flows[[#Headers],[10]],operations[[Product]:[Product]],flows[[#This Row],[Product]:[Product]])</f>
        <v>0</v>
      </c>
      <c r="M7" s="6" cm="1">
        <f t="array" ref="M7">SUMIFS(operations[[Amount]:[Amount]],operations[[Bank]:[Bank]],flows[[#This Row],[Bank]:[Bank]],operations[[Month]:[Month]],flows[[#Headers],[11]],operations[[Product]:[Product]],flows[[#This Row],[Product]:[Product]])</f>
        <v>0</v>
      </c>
      <c r="N7" s="6" cm="1">
        <f t="array" ref="N7">SUMIFS(operations[[Amount]:[Amount]],operations[[Bank]:[Bank]],flows[[#This Row],[Bank]:[Bank]],operations[[Month]:[Month]],flows[[#Headers],[2]],operations[[Product]:[Product]],flows[[#This Row],[Product]:[Product]])</f>
        <v>100</v>
      </c>
    </row>
    <row r="8" spans="1:14" x14ac:dyDescent="0.25">
      <c r="A8" t="s">
        <v>13</v>
      </c>
      <c r="B8" t="s">
        <v>14</v>
      </c>
      <c r="C8" s="6" cm="1">
        <f t="array" ref="C8">SUMIFS(operations[[Amount]:[Amount]],operations[[Bank]:[Bank]],flows[[#This Row],[Bank]:[Bank]],operations[[Month]:[Month]],flows[[#Headers],[1]],operations[[Product]:[Product]],flows[[#This Row],[Product]:[Product]])</f>
        <v>150</v>
      </c>
      <c r="D8" s="6" cm="1">
        <f t="array" ref="D8">SUMIFS(operations[[Amount]:[Amount]],operations[[Bank]:[Bank]],flows[[#This Row],[Bank]:[Bank]],operations[[Month]:[Month]],flows[[#Headers],[2]],operations[[Product]:[Product]],flows[[#This Row],[Product]:[Product]])</f>
        <v>500</v>
      </c>
      <c r="E8" s="6" cm="1">
        <f t="array" ref="E8">SUMIFS(operations[[Amount]:[Amount]],operations[[Bank]:[Bank]],flows[[#This Row],[Bank]:[Bank]],operations[[Month]:[Month]],flows[[#Headers],[3]],operations[[Product]:[Product]],flows[[#This Row],[Product]:[Product]])</f>
        <v>-9.5</v>
      </c>
      <c r="F8" s="6" cm="1">
        <f t="array" ref="F8">SUMIFS(operations[[Amount]:[Amount]],operations[[Bank]:[Bank]],flows[[#This Row],[Bank]:[Bank]],operations[[Month]:[Month]],flows[[#Headers],[4]],operations[[Product]:[Product]],flows[[#This Row],[Product]:[Product]])</f>
        <v>0</v>
      </c>
      <c r="G8" s="6" cm="1">
        <f t="array" ref="G8">SUMIFS(operations[[Amount]:[Amount]],operations[[Bank]:[Bank]],flows[[#This Row],[Bank]:[Bank]],operations[[Month]:[Month]],flows[[#Headers],[5]],operations[[Product]:[Product]],flows[[#This Row],[Product]:[Product]])</f>
        <v>-80</v>
      </c>
      <c r="H8" s="6" cm="1">
        <f t="array" ref="H8">SUMIFS(operations[[Amount]:[Amount]],operations[[Bank]:[Bank]],flows[[#This Row],[Bank]:[Bank]],operations[[Month]:[Month]],flows[[#Headers],[6]],operations[[Product]:[Product]],flows[[#This Row],[Product]:[Product]])</f>
        <v>-200</v>
      </c>
      <c r="I8" s="6" cm="1">
        <f t="array" ref="I8">SUMIFS(operations[[Amount]:[Amount]],operations[[Bank]:[Bank]],flows[[#This Row],[Bank]:[Bank]],operations[[Month]:[Month]],flows[[#Headers],[7]],operations[[Product]:[Product]],flows[[#This Row],[Product]:[Product]])</f>
        <v>0</v>
      </c>
      <c r="J8" s="6" cm="1">
        <f t="array" ref="J8">SUMIFS(operations[[Amount]:[Amount]],operations[[Bank]:[Bank]],flows[[#This Row],[Bank]:[Bank]],operations[[Month]:[Month]],flows[[#Headers],[8]],operations[[Product]:[Product]],flows[[#This Row],[Product]:[Product]])</f>
        <v>2.5</v>
      </c>
      <c r="K8" s="6" cm="1">
        <f t="array" ref="K8">SUMIFS(operations[[Amount]:[Amount]],operations[[Bank]:[Bank]],flows[[#This Row],[Bank]:[Bank]],operations[[Month]:[Month]],flows[[#Headers],[9]],operations[[Product]:[Product]],flows[[#This Row],[Product]:[Product]])</f>
        <v>0</v>
      </c>
      <c r="L8" s="6" cm="1">
        <f t="array" ref="L8">SUMIFS(operations[[Amount]:[Amount]],operations[[Bank]:[Bank]],flows[[#This Row],[Bank]:[Bank]],operations[[Month]:[Month]],flows[[#Headers],[10]],operations[[Product]:[Product]],flows[[#This Row],[Product]:[Product]])</f>
        <v>0</v>
      </c>
      <c r="M8" s="6" cm="1">
        <f t="array" ref="M8">SUMIFS(operations[[Amount]:[Amount]],operations[[Bank]:[Bank]],flows[[#This Row],[Bank]:[Bank]],operations[[Month]:[Month]],flows[[#Headers],[11]],operations[[Product]:[Product]],flows[[#This Row],[Product]:[Product]])</f>
        <v>400</v>
      </c>
      <c r="N8" s="6" cm="1">
        <f t="array" ref="N8">SUMIFS(operations[[Amount]:[Amount]],operations[[Bank]:[Bank]],flows[[#This Row],[Bank]:[Bank]],operations[[Month]:[Month]],flows[[#Headers],[2]],operations[[Product]:[Product]],flows[[#This Row],[Product]:[Product]])</f>
        <v>500</v>
      </c>
    </row>
    <row r="9" spans="1:14" x14ac:dyDescent="0.25">
      <c r="A9" t="s">
        <v>37</v>
      </c>
      <c r="C9" s="6">
        <f t="shared" ref="C9:N9" si="0">SUBTOTAL(109,C2:C8)</f>
        <v>845.5</v>
      </c>
      <c r="D9" s="6">
        <f t="shared" si="0"/>
        <v>2464.5</v>
      </c>
      <c r="E9" s="6">
        <f t="shared" si="0"/>
        <v>755.6099999999999</v>
      </c>
      <c r="F9" s="6">
        <f t="shared" si="0"/>
        <v>726.83999999999969</v>
      </c>
      <c r="G9" s="6">
        <f t="shared" si="0"/>
        <v>1290</v>
      </c>
      <c r="H9" s="6">
        <f t="shared" si="0"/>
        <v>1170</v>
      </c>
      <c r="I9" s="6">
        <f t="shared" si="0"/>
        <v>2915</v>
      </c>
      <c r="J9" s="6">
        <f t="shared" si="0"/>
        <v>1410.5</v>
      </c>
      <c r="K9" s="6">
        <f t="shared" si="0"/>
        <v>1751.5</v>
      </c>
      <c r="L9" s="6">
        <f t="shared" si="0"/>
        <v>1670</v>
      </c>
      <c r="M9" s="6">
        <f t="shared" si="0"/>
        <v>1400</v>
      </c>
      <c r="N9" s="6">
        <f t="shared" si="0"/>
        <v>2464.5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FE33A030-075C-4F7E-A555-235FB55F971D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A1:N9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B0E4B-9518-4D06-BF01-78E8CBCE5FF1}">
  <sheetPr codeName="Sheet7"/>
  <dimension ref="A1:K17"/>
  <sheetViews>
    <sheetView tabSelected="1" workbookViewId="0">
      <selection activeCell="G2" sqref="G2:G7"/>
    </sheetView>
  </sheetViews>
  <sheetFormatPr defaultRowHeight="15" x14ac:dyDescent="0.25"/>
  <cols>
    <col min="1" max="1" width="10" bestFit="1" customWidth="1"/>
    <col min="2" max="2" width="16.28515625" bestFit="1" customWidth="1"/>
    <col min="3" max="3" width="16.28515625" customWidth="1"/>
    <col min="4" max="4" width="11.85546875" customWidth="1"/>
    <col min="5" max="5" width="15.42578125" customWidth="1"/>
    <col min="7" max="7" width="12" bestFit="1" customWidth="1"/>
    <col min="8" max="8" width="12.85546875" bestFit="1" customWidth="1"/>
    <col min="10" max="10" width="13.7109375" bestFit="1" customWidth="1"/>
    <col min="11" max="11" width="13.28515625" bestFit="1" customWidth="1"/>
  </cols>
  <sheetData>
    <row r="1" spans="1:11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11</v>
      </c>
      <c r="B2" t="s">
        <v>8</v>
      </c>
      <c r="C2" s="6">
        <v>100</v>
      </c>
      <c r="D2" s="6">
        <f ca="1">SUMIFS(operations[Amount],operations[Bank],raport_1[[#This Row],[Bank]],operations[Product],raport_1[[#This Row],[Product]],operations[Month],$B$11)</f>
        <v>-35</v>
      </c>
      <c r="E2" s="6">
        <f ca="1">raport_1[[#This Row],[Opening balance]]+raport_1[[#This Row],[Operations]]</f>
        <v>65</v>
      </c>
      <c r="G2" s="1" t="s">
        <v>25</v>
      </c>
      <c r="H2" s="6">
        <f ca="1">SUMIFS(operations[Amount],operations[Category],Income_1[[#This Row],[Category]],operations[Month],$B$11)</f>
        <v>250</v>
      </c>
      <c r="J2" t="s">
        <v>18</v>
      </c>
      <c r="K2" s="6">
        <f ca="1">SUMIFS(operations[Amount],operations[Category],Expenses_1[[#This Row],[Category]],operations[Month],$B$11)</f>
        <v>-2000</v>
      </c>
    </row>
    <row r="3" spans="1:11" x14ac:dyDescent="0.25">
      <c r="A3" t="s">
        <v>11</v>
      </c>
      <c r="B3" t="s">
        <v>12</v>
      </c>
      <c r="C3" s="6">
        <v>10.5</v>
      </c>
      <c r="D3" s="6">
        <f ca="1">SUMIFS(operations[Amount],operations[Bank],raport_1[[#This Row],[Bank]],operations[Product],raport_1[[#This Row],[Product]],operations[Month],$B$11)</f>
        <v>255.5</v>
      </c>
      <c r="E3" s="6">
        <f ca="1">raport_1[[#This Row],[Opening balance]]+raport_1[[#This Row],[Operations]]</f>
        <v>266</v>
      </c>
      <c r="G3" s="1" t="s">
        <v>28</v>
      </c>
      <c r="H3" s="6">
        <f ca="1">SUMIFS(operations[Amount],operations[Category],Income_1[[#This Row],[Category]],operations[Month],$B$11)</f>
        <v>105.5</v>
      </c>
      <c r="J3" t="s">
        <v>22</v>
      </c>
      <c r="K3" s="6">
        <f ca="1">SUMIFS(operations[Amount],operations[Category],Expenses_1[[#This Row],[Category]],operations[Month],$B$11)</f>
        <v>-80</v>
      </c>
    </row>
    <row r="4" spans="1:11" x14ac:dyDescent="0.25">
      <c r="A4" t="s">
        <v>7</v>
      </c>
      <c r="B4" t="s">
        <v>8</v>
      </c>
      <c r="C4" s="6">
        <v>600</v>
      </c>
      <c r="D4" s="6">
        <f ca="1">SUMIFS(operations[Amount],operations[Bank],raport_1[[#This Row],[Bank]],operations[Product],raport_1[[#This Row],[Product]],operations[Month],$B$11)</f>
        <v>1100</v>
      </c>
      <c r="E4" s="6">
        <f ca="1">raport_1[[#This Row],[Opening balance]]+raport_1[[#This Row],[Operations]]</f>
        <v>1700</v>
      </c>
      <c r="G4" s="1" t="s">
        <v>29</v>
      </c>
      <c r="H4" s="6">
        <f ca="1">SUMIFS(operations[Amount],operations[Category],Income_1[[#This Row],[Category]],operations[Month],$B$11)</f>
        <v>0</v>
      </c>
      <c r="J4" t="s">
        <v>20</v>
      </c>
      <c r="K4" s="6">
        <f ca="1">SUMIFS(operations[Amount],operations[Category],Expenses_1[[#This Row],[Category]],operations[Month],$B$11)</f>
        <v>-85</v>
      </c>
    </row>
    <row r="5" spans="1:11" x14ac:dyDescent="0.25">
      <c r="A5" t="s">
        <v>7</v>
      </c>
      <c r="B5" t="s">
        <v>9</v>
      </c>
      <c r="C5" s="6">
        <v>0</v>
      </c>
      <c r="D5" s="6">
        <f ca="1">SUMIFS(operations[Amount],operations[Bank],raport_1[[#This Row],[Bank]],operations[Product],raport_1[[#This Row],[Product]],operations[Month],$B$11)</f>
        <v>-175</v>
      </c>
      <c r="E5" s="6">
        <f ca="1">raport_1[[#This Row],[Opening balance]]+raport_1[[#This Row],[Operations]]</f>
        <v>-175</v>
      </c>
      <c r="G5" s="1" t="s">
        <v>30</v>
      </c>
      <c r="H5" s="6">
        <f ca="1">SUMIFS(operations[Amount],operations[Category],Income_1[[#This Row],[Category]],operations[Month],$B$11)</f>
        <v>800</v>
      </c>
      <c r="J5" t="s">
        <v>17</v>
      </c>
      <c r="K5" s="6">
        <f ca="1">SUMIFS(operations[Amount],operations[Category],Expenses_1[[#This Row],[Category]],operations[Month],$B$11)</f>
        <v>-1715</v>
      </c>
    </row>
    <row r="6" spans="1:11" x14ac:dyDescent="0.25">
      <c r="A6" t="s">
        <v>7</v>
      </c>
      <c r="B6" t="s">
        <v>10</v>
      </c>
      <c r="C6" s="6">
        <v>2000</v>
      </c>
      <c r="D6" s="6">
        <f ca="1">SUMIFS(operations[Amount],operations[Bank],raport_1[[#This Row],[Bank]],operations[Product],raport_1[[#This Row],[Product]],operations[Month],$B$11)</f>
        <v>-400</v>
      </c>
      <c r="E6" s="6">
        <f ca="1">raport_1[[#This Row],[Opening balance]]+raport_1[[#This Row],[Operations]]</f>
        <v>1600</v>
      </c>
      <c r="G6" s="1" t="s">
        <v>26</v>
      </c>
      <c r="H6" s="6">
        <f ca="1">SUMIFS(operations[Amount],operations[Category],Income_1[[#This Row],[Category]],operations[Month],$B$11)</f>
        <v>4500</v>
      </c>
      <c r="J6" t="s">
        <v>21</v>
      </c>
      <c r="K6" s="6">
        <f ca="1">SUMIFS(operations[Amount],operations[Category],Expenses_1[[#This Row],[Category]],operations[Month],$B$11)</f>
        <v>-100</v>
      </c>
    </row>
    <row r="7" spans="1:11" x14ac:dyDescent="0.25">
      <c r="A7" t="s">
        <v>13</v>
      </c>
      <c r="B7" t="s">
        <v>15</v>
      </c>
      <c r="C7" s="6">
        <v>200</v>
      </c>
      <c r="D7" s="6">
        <f ca="1">SUMIFS(operations[Amount],operations[Bank],raport_1[[#This Row],[Bank]],operations[Product],raport_1[[#This Row],[Product]],operations[Month],$B$11)</f>
        <v>-50</v>
      </c>
      <c r="E7" s="6">
        <f ca="1">raport_1[[#This Row],[Opening balance]]+raport_1[[#This Row],[Operations]]</f>
        <v>150</v>
      </c>
      <c r="G7" s="1" t="s">
        <v>27</v>
      </c>
      <c r="H7" s="6">
        <f ca="1">SUMIFS(operations[Amount],operations[Category],Income_1[[#This Row],[Category]],operations[Month],$B$11)</f>
        <v>0</v>
      </c>
      <c r="J7" t="s">
        <v>19</v>
      </c>
      <c r="K7" s="6">
        <f ca="1">SUMIFS(operations[Amount],operations[Category],Expenses_1[[#This Row],[Category]],operations[Month],$B$11)</f>
        <v>-150</v>
      </c>
    </row>
    <row r="8" spans="1:11" x14ac:dyDescent="0.25">
      <c r="A8" t="s">
        <v>13</v>
      </c>
      <c r="B8" t="s">
        <v>14</v>
      </c>
      <c r="C8" s="6">
        <v>30</v>
      </c>
      <c r="D8" s="6">
        <f ca="1">SUMIFS(operations[Amount],operations[Bank],raport_1[[#This Row],[Bank]],operations[Product],raport_1[[#This Row],[Product]],operations[Month],$B$11)</f>
        <v>150</v>
      </c>
      <c r="E8" s="6">
        <f ca="1">raport_1[[#This Row],[Opening balance]]+raport_1[[#This Row],[Operations]]</f>
        <v>180</v>
      </c>
      <c r="G8" t="s">
        <v>37</v>
      </c>
      <c r="H8" s="6">
        <f ca="1">SUBTOTAL(109,Income_1[Total])</f>
        <v>5655.5</v>
      </c>
      <c r="J8" t="s">
        <v>24</v>
      </c>
      <c r="K8" s="6">
        <f ca="1">SUMIFS(operations[Amount],operations[Category],Expenses_1[[#This Row],[Category]],operations[Month],$B$11)</f>
        <v>-500</v>
      </c>
    </row>
    <row r="9" spans="1:11" x14ac:dyDescent="0.25">
      <c r="A9" s="4" t="s">
        <v>37</v>
      </c>
      <c r="B9" s="4"/>
      <c r="C9" s="6">
        <f>SUBTOTAL(109,raport_1[Opening balance])</f>
        <v>2940.5</v>
      </c>
      <c r="D9" s="6">
        <f ca="1">SUBTOTAL(109,raport_1[Operations])</f>
        <v>845.5</v>
      </c>
      <c r="E9" s="6">
        <f ca="1">SUBTOTAL(109,raport_1[Closing balance])</f>
        <v>3786</v>
      </c>
      <c r="J9" t="s">
        <v>23</v>
      </c>
      <c r="K9" s="6">
        <f ca="1">SUMIFS(operations[Amount],operations[Category],Expenses_1[[#This Row],[Category]],operations[Month],$B$11)</f>
        <v>-100</v>
      </c>
    </row>
    <row r="10" spans="1:11" x14ac:dyDescent="0.25">
      <c r="J10" t="s">
        <v>16</v>
      </c>
      <c r="K10" s="6">
        <f ca="1">SUMIFS(operations[Amount],operations[Category],Expenses_1[[#This Row],[Category]],operations[Month],$B$11)</f>
        <v>-80</v>
      </c>
    </row>
    <row r="11" spans="1:11" x14ac:dyDescent="0.25">
      <c r="A11" t="s">
        <v>6</v>
      </c>
      <c r="B11" s="5" t="str" cm="1">
        <f t="array" aca="1" ref="B11" ca="1">_xlfn.TEXTAFTER(CELL("filename",A1),"]")</f>
        <v>1</v>
      </c>
      <c r="J11" t="s">
        <v>37</v>
      </c>
      <c r="K11" s="7">
        <f ca="1">SUBTOTAL(109,Expenses_1[Total])</f>
        <v>-4810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6">
        <f ca="1">SUMIFS(operations[Amount],operations[Type],Balance_1[[#This Row],[Type]],operations[Month],$B$11)</f>
        <v>5655.5</v>
      </c>
    </row>
    <row r="15" spans="1:11" x14ac:dyDescent="0.25">
      <c r="A15" t="s">
        <v>38</v>
      </c>
      <c r="B15" s="6">
        <f ca="1">SUMIFS(operations[Amount],operations[Type],Balance_1[[#This Row],[Type]],operations[Month],$B$11)</f>
        <v>-4810</v>
      </c>
    </row>
    <row r="16" spans="1:11" x14ac:dyDescent="0.25">
      <c r="A16" t="s">
        <v>31</v>
      </c>
      <c r="B16" s="6">
        <f ca="1">SUMIFS(operations[Amount],operations[Type],Balance_1[[#This Row],[Type]],operations[Month],$B$11)</f>
        <v>0</v>
      </c>
    </row>
    <row r="17" spans="1:2" x14ac:dyDescent="0.25">
      <c r="A17" t="s">
        <v>37</v>
      </c>
      <c r="B17" s="6">
        <f ca="1">SUBTOTAL(109,Balance_1[Total])</f>
        <v>845.5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9418-A4A9-4083-AC57-B40DACAFF754}">
  <sheetPr codeName="Sheet8"/>
  <dimension ref="A1:K17"/>
  <sheetViews>
    <sheetView workbookViewId="0">
      <selection activeCell="I29" sqref="I29"/>
    </sheetView>
  </sheetViews>
  <sheetFormatPr defaultRowHeight="15" x14ac:dyDescent="0.25"/>
  <cols>
    <col min="1" max="1" width="10" bestFit="1" customWidth="1"/>
    <col min="2" max="2" width="16.28515625" bestFit="1" customWidth="1"/>
    <col min="3" max="3" width="16.28515625" customWidth="1"/>
    <col min="4" max="4" width="13.28515625" bestFit="1" customWidth="1"/>
    <col min="5" max="5" width="15.42578125" customWidth="1"/>
    <col min="7" max="7" width="12" bestFit="1" customWidth="1"/>
    <col min="8" max="8" width="11.140625" bestFit="1" customWidth="1"/>
    <col min="10" max="10" width="13.7109375" bestFit="1" customWidth="1"/>
    <col min="11" max="11" width="10.85546875" bestFit="1" customWidth="1"/>
  </cols>
  <sheetData>
    <row r="1" spans="1:11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11</v>
      </c>
      <c r="B2" t="s">
        <v>8</v>
      </c>
      <c r="C2" s="6" cm="1">
        <f t="array" aca="1" ref="C2" ca="1">INDIRECT("raport_" &amp; $B$11-1 &amp; "[@[Closing balance]]")</f>
        <v>65</v>
      </c>
      <c r="D2" s="6">
        <f ca="1">SUMIFS(operations[Amount],operations[Bank],Raport_2[[#This Row],[Bank]],operations[Product],Raport_2[[#This Row],[Product]],operations[Month],$B$11)</f>
        <v>35</v>
      </c>
      <c r="E2" s="6">
        <f ca="1">Raport_2[[#This Row],[Opening balance]]+Raport_2[[#This Row],[Operations]]</f>
        <v>100</v>
      </c>
      <c r="G2" s="1" t="s">
        <v>25</v>
      </c>
      <c r="H2" s="6">
        <f ca="1">SUMIFS(operations[Amount],operations[Category],Income_2[[#This Row],[Category]],operations[Month],$B$11)</f>
        <v>0</v>
      </c>
      <c r="J2" t="s">
        <v>18</v>
      </c>
      <c r="K2" s="6">
        <f ca="1">SUMIFS(operations[Amount],operations[Category],Expenses_2[[#This Row],[Category]],operations[Month],$B$11)</f>
        <v>-2000</v>
      </c>
    </row>
    <row r="3" spans="1:11" x14ac:dyDescent="0.25">
      <c r="A3" t="s">
        <v>11</v>
      </c>
      <c r="B3" t="s">
        <v>12</v>
      </c>
      <c r="C3" s="6" cm="1">
        <f t="array" aca="1" ref="C3" ca="1">INDIRECT("raport_" &amp; $B$11-1 &amp; "[@[Closing balance]]")</f>
        <v>266</v>
      </c>
      <c r="D3" s="6">
        <f ca="1">SUMIFS(operations[Amount],operations[Bank],Raport_2[[#This Row],[Bank]],operations[Product],Raport_2[[#This Row],[Product]],operations[Month],$B$11)</f>
        <v>15</v>
      </c>
      <c r="E3" s="6">
        <f ca="1">Raport_2[[#This Row],[Opening balance]]+Raport_2[[#This Row],[Operations]]</f>
        <v>281</v>
      </c>
      <c r="G3" s="1" t="s">
        <v>28</v>
      </c>
      <c r="H3" s="6">
        <f ca="1">SUMIFS(operations[Amount],operations[Category],Income_2[[#This Row],[Category]],operations[Month],$B$11)</f>
        <v>115</v>
      </c>
      <c r="J3" t="s">
        <v>22</v>
      </c>
      <c r="K3" s="6">
        <f ca="1">SUMIFS(operations[Amount],operations[Category],Expenses_2[[#This Row],[Category]],operations[Month],$B$11)</f>
        <v>0</v>
      </c>
    </row>
    <row r="4" spans="1:11" x14ac:dyDescent="0.25">
      <c r="A4" t="s">
        <v>7</v>
      </c>
      <c r="B4" t="s">
        <v>8</v>
      </c>
      <c r="C4" s="6" cm="1">
        <f t="array" aca="1" ref="C4" ca="1">INDIRECT("raport_" &amp; $B$11-1 &amp; "[@[Closing balance]]")</f>
        <v>1700</v>
      </c>
      <c r="D4" s="6">
        <f ca="1">SUMIFS(operations[Amount],operations[Bank],Raport_2[[#This Row],[Bank]],operations[Product],Raport_2[[#This Row],[Product]],operations[Month],$B$11)</f>
        <v>2039.5</v>
      </c>
      <c r="E4" s="6">
        <f ca="1">Raport_2[[#This Row],[Opening balance]]+Raport_2[[#This Row],[Operations]]</f>
        <v>3739.5</v>
      </c>
      <c r="G4" s="1" t="s">
        <v>29</v>
      </c>
      <c r="H4" s="6">
        <f ca="1">SUMIFS(operations[Amount],operations[Category],Income_2[[#This Row],[Category]],operations[Month],$B$11)</f>
        <v>0</v>
      </c>
      <c r="J4" t="s">
        <v>20</v>
      </c>
      <c r="K4" s="6">
        <f ca="1">SUMIFS(operations[Amount],operations[Category],Expenses_2[[#This Row],[Category]],operations[Month],$B$11)</f>
        <v>-350</v>
      </c>
    </row>
    <row r="5" spans="1:11" x14ac:dyDescent="0.25">
      <c r="A5" t="s">
        <v>7</v>
      </c>
      <c r="B5" t="s">
        <v>9</v>
      </c>
      <c r="C5" s="6" cm="1">
        <f t="array" aca="1" ref="C5" ca="1">INDIRECT("raport_" &amp; $B$11-1 &amp; "[@[Closing balance]]")</f>
        <v>-175</v>
      </c>
      <c r="D5" s="6">
        <f ca="1">SUMIFS(operations[Amount],operations[Bank],Raport_2[[#This Row],[Bank]],operations[Product],Raport_2[[#This Row],[Product]],operations[Month],$B$11)</f>
        <v>175</v>
      </c>
      <c r="E5" s="6">
        <f ca="1">Raport_2[[#This Row],[Opening balance]]+Raport_2[[#This Row],[Operations]]</f>
        <v>0</v>
      </c>
      <c r="G5" s="1" t="s">
        <v>30</v>
      </c>
      <c r="H5" s="6">
        <f ca="1">SUMIFS(operations[Amount],operations[Category],Income_2[[#This Row],[Category]],operations[Month],$B$11)</f>
        <v>1950</v>
      </c>
      <c r="J5" t="s">
        <v>17</v>
      </c>
      <c r="K5" s="6">
        <f ca="1">SUMIFS(operations[Amount],operations[Category],Expenses_2[[#This Row],[Category]],operations[Month],$B$11)</f>
        <v>-405.5</v>
      </c>
    </row>
    <row r="6" spans="1:11" x14ac:dyDescent="0.25">
      <c r="A6" t="s">
        <v>7</v>
      </c>
      <c r="B6" t="s">
        <v>10</v>
      </c>
      <c r="C6" s="6" cm="1">
        <f t="array" aca="1" ref="C6" ca="1">INDIRECT("raport_" &amp; $B$11-1 &amp; "[@[Closing balance]]")</f>
        <v>1600</v>
      </c>
      <c r="D6" s="6">
        <f ca="1">SUMIFS(operations[Amount],operations[Bank],Raport_2[[#This Row],[Bank]],operations[Product],Raport_2[[#This Row],[Product]],operations[Month],$B$11)</f>
        <v>-400</v>
      </c>
      <c r="E6" s="6">
        <f ca="1">Raport_2[[#This Row],[Opening balance]]+Raport_2[[#This Row],[Operations]]</f>
        <v>1200</v>
      </c>
      <c r="G6" s="1" t="s">
        <v>26</v>
      </c>
      <c r="H6" s="6">
        <f ca="1">SUMIFS(operations[Amount],operations[Category],Income_2[[#This Row],[Category]],operations[Month],$B$11)</f>
        <v>4500</v>
      </c>
      <c r="J6" t="s">
        <v>21</v>
      </c>
      <c r="K6" s="6">
        <f ca="1">SUMIFS(operations[Amount],operations[Category],Expenses_2[[#This Row],[Category]],operations[Month],$B$11)</f>
        <v>-250</v>
      </c>
    </row>
    <row r="7" spans="1:11" x14ac:dyDescent="0.25">
      <c r="A7" t="s">
        <v>13</v>
      </c>
      <c r="B7" t="s">
        <v>15</v>
      </c>
      <c r="C7" s="6" cm="1">
        <f t="array" aca="1" ref="C7" ca="1">INDIRECT("raport_" &amp; $B$11-1 &amp; "[@[Closing balance]]")</f>
        <v>150</v>
      </c>
      <c r="D7" s="6">
        <f ca="1">SUMIFS(operations[Amount],operations[Bank],Raport_2[[#This Row],[Bank]],operations[Product],Raport_2[[#This Row],[Product]],operations[Month],$B$11)</f>
        <v>100</v>
      </c>
      <c r="E7" s="6">
        <f ca="1">Raport_2[[#This Row],[Opening balance]]+Raport_2[[#This Row],[Operations]]</f>
        <v>250</v>
      </c>
      <c r="G7" s="1" t="s">
        <v>27</v>
      </c>
      <c r="H7" s="6">
        <f ca="1">SUMIFS(operations[Amount],operations[Category],Income_2[[#This Row],[Category]],operations[Month],$B$11)</f>
        <v>0</v>
      </c>
      <c r="J7" t="s">
        <v>19</v>
      </c>
      <c r="K7" s="6">
        <f ca="1">SUMIFS(operations[Amount],operations[Category],Expenses_2[[#This Row],[Category]],operations[Month],$B$11)</f>
        <v>-150</v>
      </c>
    </row>
    <row r="8" spans="1:11" x14ac:dyDescent="0.25">
      <c r="A8" t="s">
        <v>13</v>
      </c>
      <c r="B8" t="s">
        <v>14</v>
      </c>
      <c r="C8" s="6" cm="1">
        <f t="array" aca="1" ref="C8" ca="1">INDIRECT("raport_" &amp; $B$11-1 &amp; "[@[Closing balance]]")</f>
        <v>180</v>
      </c>
      <c r="D8" s="6">
        <f ca="1">SUMIFS(operations[Amount],operations[Bank],Raport_2[[#This Row],[Bank]],operations[Product],Raport_2[[#This Row],[Product]],operations[Month],$B$11)</f>
        <v>500</v>
      </c>
      <c r="E8" s="6">
        <f ca="1">Raport_2[[#This Row],[Opening balance]]+Raport_2[[#This Row],[Operations]]</f>
        <v>680</v>
      </c>
      <c r="G8" t="s">
        <v>37</v>
      </c>
      <c r="H8" s="6">
        <f ca="1">SUBTOTAL(109,Income_2[Total])</f>
        <v>6565</v>
      </c>
      <c r="J8" t="s">
        <v>24</v>
      </c>
      <c r="K8" s="6">
        <f ca="1">SUMIFS(operations[Amount],operations[Category],Expenses_2[[#This Row],[Category]],operations[Month],$B$11)</f>
        <v>-765</v>
      </c>
    </row>
    <row r="9" spans="1:11" x14ac:dyDescent="0.25">
      <c r="A9" s="4" t="s">
        <v>37</v>
      </c>
      <c r="B9" s="4"/>
      <c r="C9" s="6">
        <f ca="1">SUBTOTAL(109,Raport_2[Opening balance])</f>
        <v>3786</v>
      </c>
      <c r="D9" s="6">
        <f ca="1">SUBTOTAL(109,Raport_2[Operations])</f>
        <v>2464.5</v>
      </c>
      <c r="E9" s="6">
        <f ca="1">SUBTOTAL(109,Raport_2[Closing balance])</f>
        <v>6250.5</v>
      </c>
      <c r="J9" t="s">
        <v>23</v>
      </c>
      <c r="K9" s="6">
        <f ca="1">SUMIFS(operations[Amount],operations[Category],Expenses_2[[#This Row],[Category]],operations[Month],$B$11)</f>
        <v>-100</v>
      </c>
    </row>
    <row r="10" spans="1:11" x14ac:dyDescent="0.25">
      <c r="J10" t="s">
        <v>16</v>
      </c>
      <c r="K10" s="6">
        <f ca="1">SUMIFS(operations[Amount],operations[Category],Expenses_2[[#This Row],[Category]],operations[Month],$B$11)</f>
        <v>-80</v>
      </c>
    </row>
    <row r="11" spans="1:11" x14ac:dyDescent="0.25">
      <c r="A11" t="s">
        <v>6</v>
      </c>
      <c r="B11" s="5" t="str" cm="1">
        <f t="array" aca="1" ref="B11" ca="1">_xlfn.TEXTAFTER(CELL("filename",A1),"]")</f>
        <v>2</v>
      </c>
      <c r="J11" t="s">
        <v>37</v>
      </c>
      <c r="K11" s="6">
        <f ca="1">SUBTOTAL(109,Expenses_2[Total])</f>
        <v>-4100.5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6">
        <f ca="1">SUMIFS(operations[Amount],operations[Type],Balance_2[[#This Row],[Type]],operations[Month],$B$11)</f>
        <v>6565</v>
      </c>
    </row>
    <row r="15" spans="1:11" x14ac:dyDescent="0.25">
      <c r="A15" t="s">
        <v>38</v>
      </c>
      <c r="B15" s="6">
        <f ca="1">SUMIFS(operations[Amount],operations[Type],Balance_2[[#This Row],[Type]],operations[Month],$B$11)</f>
        <v>-4100.5</v>
      </c>
    </row>
    <row r="16" spans="1:11" x14ac:dyDescent="0.25">
      <c r="A16" t="s">
        <v>31</v>
      </c>
      <c r="B16" s="6">
        <f ca="1">SUMIFS(operations[Amount],operations[Type],Balance_2[[#This Row],[Type]],operations[Month],$B$11)</f>
        <v>0</v>
      </c>
    </row>
    <row r="17" spans="1:2" x14ac:dyDescent="0.25">
      <c r="A17" t="s">
        <v>37</v>
      </c>
      <c r="B17" s="6">
        <f ca="1">SUBTOTAL(109,Balance_2[Total])</f>
        <v>2464.5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AFF5F-F4E8-4B01-9EA8-004D267D4D4B}">
  <sheetPr codeName="Sheet9"/>
  <dimension ref="A1:K17"/>
  <sheetViews>
    <sheetView workbookViewId="0">
      <selection activeCell="B17" sqref="A13:B17"/>
    </sheetView>
  </sheetViews>
  <sheetFormatPr defaultRowHeight="15" x14ac:dyDescent="0.25"/>
  <cols>
    <col min="1" max="1" width="10" bestFit="1" customWidth="1"/>
    <col min="2" max="2" width="16.28515625" bestFit="1" customWidth="1"/>
    <col min="3" max="3" width="16.28515625" customWidth="1"/>
    <col min="4" max="4" width="13.28515625" bestFit="1" customWidth="1"/>
    <col min="5" max="5" width="15.42578125" customWidth="1"/>
    <col min="7" max="7" width="12" bestFit="1" customWidth="1"/>
    <col min="8" max="8" width="11.140625" bestFit="1" customWidth="1"/>
    <col min="10" max="10" width="13.7109375" bestFit="1" customWidth="1"/>
    <col min="11" max="11" width="10.85546875" bestFit="1" customWidth="1"/>
  </cols>
  <sheetData>
    <row r="1" spans="1:11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11</v>
      </c>
      <c r="B2" t="s">
        <v>8</v>
      </c>
      <c r="C2" s="6" cm="1">
        <f t="array" aca="1" ref="C2" ca="1">INDIRECT("raport_" &amp; $B$11-1 &amp; "[@[Closing balance]]")</f>
        <v>167.5</v>
      </c>
      <c r="D2" s="6">
        <f ca="1">SUMIFS(operations[Amount],operations[Bank],Raport_4[[#This Row],[Bank]],operations[Product],Raport_4[[#This Row],[Product]],operations[Month],$B$11)</f>
        <v>101</v>
      </c>
      <c r="E2" s="6">
        <f ca="1">Raport_4[[#This Row],[Opening balance]]+Raport_4[[#This Row],[Operations]]</f>
        <v>268.5</v>
      </c>
      <c r="G2" s="1" t="s">
        <v>25</v>
      </c>
      <c r="H2" s="6">
        <f ca="1">SUMIFS(operations[Amount],operations[Category],Income_4[[#This Row],[Category]],operations[Month],$B$11)</f>
        <v>0</v>
      </c>
      <c r="J2" t="s">
        <v>18</v>
      </c>
      <c r="K2" s="6">
        <f ca="1">SUMIFS(operations[Amount],operations[Category],Expenses_4[[#This Row],[Category]],operations[Month],$B$11)</f>
        <v>-2000</v>
      </c>
    </row>
    <row r="3" spans="1:11" x14ac:dyDescent="0.25">
      <c r="A3" t="s">
        <v>11</v>
      </c>
      <c r="B3" t="s">
        <v>12</v>
      </c>
      <c r="C3" s="6" cm="1">
        <f t="array" aca="1" ref="C3" ca="1">INDIRECT("raport_" &amp; $B$11-1 &amp; "[@[Closing balance]]")</f>
        <v>286</v>
      </c>
      <c r="D3" s="6">
        <f ca="1">SUMIFS(operations[Amount],operations[Bank],Raport_4[[#This Row],[Bank]],operations[Product],Raport_4[[#This Row],[Product]],operations[Month],$B$11)</f>
        <v>50</v>
      </c>
      <c r="E3" s="6">
        <f ca="1">Raport_4[[#This Row],[Opening balance]]+Raport_4[[#This Row],[Operations]]</f>
        <v>336</v>
      </c>
      <c r="G3" s="1" t="s">
        <v>28</v>
      </c>
      <c r="H3" s="6">
        <f ca="1">SUMIFS(operations[Amount],operations[Category],Income_4[[#This Row],[Category]],operations[Month],$B$11)</f>
        <v>150</v>
      </c>
      <c r="J3" t="s">
        <v>22</v>
      </c>
      <c r="K3" s="6">
        <f ca="1">SUMIFS(operations[Amount],operations[Category],Expenses_4[[#This Row],[Category]],operations[Month],$B$11)</f>
        <v>-149</v>
      </c>
    </row>
    <row r="4" spans="1:11" x14ac:dyDescent="0.25">
      <c r="A4" t="s">
        <v>7</v>
      </c>
      <c r="B4" t="s">
        <v>8</v>
      </c>
      <c r="C4" s="6" cm="1">
        <f t="array" aca="1" ref="C4" ca="1">INDIRECT("raport_" &amp; $B$11-1 &amp; "[@[Closing balance]]")</f>
        <v>4561.1000000000004</v>
      </c>
      <c r="D4" s="6">
        <f ca="1">SUMIFS(operations[Amount],operations[Bank],Raport_4[[#This Row],[Bank]],operations[Product],Raport_4[[#This Row],[Product]],operations[Month],$B$11)</f>
        <v>562.72999999999968</v>
      </c>
      <c r="E4" s="6">
        <f ca="1">Raport_4[[#This Row],[Opening balance]]+Raport_4[[#This Row],[Operations]]</f>
        <v>5123.83</v>
      </c>
      <c r="G4" s="1" t="s">
        <v>29</v>
      </c>
      <c r="H4" s="6">
        <f ca="1">SUMIFS(operations[Amount],operations[Category],Income_4[[#This Row],[Category]],operations[Month],$B$11)</f>
        <v>50</v>
      </c>
      <c r="J4" t="s">
        <v>20</v>
      </c>
      <c r="K4" s="6">
        <f ca="1">SUMIFS(operations[Amount],operations[Category],Expenses_4[[#This Row],[Category]],operations[Month],$B$11)</f>
        <v>-1057.9000000000001</v>
      </c>
    </row>
    <row r="5" spans="1:11" x14ac:dyDescent="0.25">
      <c r="A5" t="s">
        <v>7</v>
      </c>
      <c r="B5" t="s">
        <v>9</v>
      </c>
      <c r="C5" s="6" cm="1">
        <f t="array" aca="1" ref="C5" ca="1">INDIRECT("raport_" &amp; $B$11-1 &amp; "[@[Closing balance]]")</f>
        <v>-104.5</v>
      </c>
      <c r="D5" s="6">
        <f ca="1">SUMIFS(operations[Amount],operations[Bank],Raport_4[[#This Row],[Bank]],operations[Product],Raport_4[[#This Row],[Product]],operations[Month],$B$11)</f>
        <v>13.110000000000007</v>
      </c>
      <c r="E5" s="6">
        <f ca="1">Raport_4[[#This Row],[Opening balance]]+Raport_4[[#This Row],[Operations]]</f>
        <v>-91.389999999999986</v>
      </c>
      <c r="G5" s="1" t="s">
        <v>30</v>
      </c>
      <c r="H5" s="6">
        <f ca="1">SUMIFS(operations[Amount],operations[Category],Income_4[[#This Row],[Category]],operations[Month],$B$11)</f>
        <v>0</v>
      </c>
      <c r="J5" t="s">
        <v>17</v>
      </c>
      <c r="K5" s="6">
        <f ca="1">SUMIFS(operations[Amount],operations[Category],Expenses_4[[#This Row],[Category]],operations[Month],$B$11)</f>
        <v>-372.26</v>
      </c>
    </row>
    <row r="6" spans="1:11" x14ac:dyDescent="0.25">
      <c r="A6" t="s">
        <v>7</v>
      </c>
      <c r="B6" t="s">
        <v>10</v>
      </c>
      <c r="C6" s="6" cm="1">
        <f t="array" aca="1" ref="C6" ca="1">INDIRECT("raport_" &amp; $B$11-1 &amp; "[@[Closing balance]]")</f>
        <v>1200</v>
      </c>
      <c r="D6" s="6">
        <f ca="1">SUMIFS(operations[Amount],operations[Bank],Raport_4[[#This Row],[Bank]],operations[Product],Raport_4[[#This Row],[Product]],operations[Month],$B$11)</f>
        <v>0</v>
      </c>
      <c r="E6" s="6">
        <f ca="1">Raport_4[[#This Row],[Opening balance]]+Raport_4[[#This Row],[Operations]]</f>
        <v>1200</v>
      </c>
      <c r="G6" s="1" t="s">
        <v>26</v>
      </c>
      <c r="H6" s="6">
        <f ca="1">SUMIFS(operations[Amount],operations[Category],Income_4[[#This Row],[Category]],operations[Month],$B$11)</f>
        <v>4500</v>
      </c>
      <c r="J6" t="s">
        <v>21</v>
      </c>
      <c r="K6" s="6">
        <f ca="1">SUMIFS(operations[Amount],operations[Category],Expenses_4[[#This Row],[Category]],operations[Month],$B$11)</f>
        <v>-23.5</v>
      </c>
    </row>
    <row r="7" spans="1:11" x14ac:dyDescent="0.25">
      <c r="A7" t="s">
        <v>13</v>
      </c>
      <c r="B7" t="s">
        <v>15</v>
      </c>
      <c r="C7" s="6" cm="1">
        <f t="array" aca="1" ref="C7" ca="1">INDIRECT("raport_" &amp; $B$11-1 &amp; "[@[Closing balance]]")</f>
        <v>225.51</v>
      </c>
      <c r="D7" s="6">
        <f ca="1">SUMIFS(operations[Amount],operations[Bank],Raport_4[[#This Row],[Bank]],operations[Product],Raport_4[[#This Row],[Product]],operations[Month],$B$11)</f>
        <v>0</v>
      </c>
      <c r="E7" s="6">
        <f ca="1">Raport_4[[#This Row],[Opening balance]]+Raport_4[[#This Row],[Operations]]</f>
        <v>225.51</v>
      </c>
      <c r="G7" s="1" t="s">
        <v>27</v>
      </c>
      <c r="H7" s="6">
        <f ca="1">SUMIFS(operations[Amount],operations[Category],Income_4[[#This Row],[Category]],operations[Month],$B$11)</f>
        <v>0</v>
      </c>
      <c r="J7" t="s">
        <v>19</v>
      </c>
      <c r="K7" s="6">
        <f ca="1">SUMIFS(operations[Amount],operations[Category],Expenses_4[[#This Row],[Category]],operations[Month],$B$11)</f>
        <v>-49</v>
      </c>
    </row>
    <row r="8" spans="1:11" x14ac:dyDescent="0.25">
      <c r="A8" t="s">
        <v>13</v>
      </c>
      <c r="B8" t="s">
        <v>14</v>
      </c>
      <c r="C8" s="6" cm="1">
        <f t="array" aca="1" ref="C8" ca="1">INDIRECT("raport_" &amp; $B$11-1 &amp; "[@[Closing balance]]")</f>
        <v>670.5</v>
      </c>
      <c r="D8" s="6">
        <f ca="1">SUMIFS(operations[Amount],operations[Bank],Raport_4[[#This Row],[Bank]],operations[Product],Raport_4[[#This Row],[Product]],operations[Month],$B$11)</f>
        <v>0</v>
      </c>
      <c r="E8" s="6">
        <f ca="1">Raport_4[[#This Row],[Opening balance]]+Raport_4[[#This Row],[Operations]]</f>
        <v>670.5</v>
      </c>
      <c r="G8" t="s">
        <v>37</v>
      </c>
      <c r="H8" s="6">
        <f ca="1">SUBTOTAL(109,Income_4[Total])</f>
        <v>4700</v>
      </c>
      <c r="J8" t="s">
        <v>24</v>
      </c>
      <c r="K8" s="6">
        <f ca="1">SUMIFS(operations[Amount],operations[Category],Expenses_4[[#This Row],[Category]],operations[Month],$B$11)</f>
        <v>-100</v>
      </c>
    </row>
    <row r="9" spans="1:11" x14ac:dyDescent="0.25">
      <c r="A9" s="4" t="s">
        <v>37</v>
      </c>
      <c r="B9" s="4"/>
      <c r="C9" s="6">
        <f ca="1">SUBTOTAL(109,Raport_4[Opening balance])</f>
        <v>7006.1100000000006</v>
      </c>
      <c r="D9" s="6">
        <f ca="1">SUBTOTAL(109,Raport_4[Operations])</f>
        <v>726.83999999999969</v>
      </c>
      <c r="E9" s="6">
        <f ca="1">SUBTOTAL(109,Raport_4[Closing balance])</f>
        <v>7732.95</v>
      </c>
      <c r="J9" t="s">
        <v>23</v>
      </c>
      <c r="K9" s="6">
        <f ca="1">SUMIFS(operations[Amount],operations[Category],Expenses_4[[#This Row],[Category]],operations[Month],$B$11)</f>
        <v>-139</v>
      </c>
    </row>
    <row r="10" spans="1:11" x14ac:dyDescent="0.25">
      <c r="J10" t="s">
        <v>16</v>
      </c>
      <c r="K10" s="6">
        <f ca="1">SUMIFS(operations[Amount],operations[Category],Expenses_4[[#This Row],[Category]],operations[Month],$B$11)</f>
        <v>-82.5</v>
      </c>
    </row>
    <row r="11" spans="1:11" x14ac:dyDescent="0.25">
      <c r="A11" t="s">
        <v>6</v>
      </c>
      <c r="B11" s="5" t="str" cm="1">
        <f t="array" aca="1" ref="B11" ca="1">_xlfn.TEXTAFTER(CELL("filename",A1),"]")</f>
        <v>4</v>
      </c>
      <c r="J11" t="s">
        <v>37</v>
      </c>
      <c r="K11" s="6">
        <f ca="1">SUBTOTAL(109,Expenses_4[Total])</f>
        <v>-3973.16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6">
        <f ca="1">SUMIFS(operations[Amount],operations[Type],Balance_4[[#This Row],[Type]],operations[Month],$B$11)</f>
        <v>4700</v>
      </c>
    </row>
    <row r="15" spans="1:11" x14ac:dyDescent="0.25">
      <c r="A15" t="s">
        <v>38</v>
      </c>
      <c r="B15" s="6">
        <f ca="1">SUMIFS(operations[Amount],operations[Type],Balance_4[[#This Row],[Type]],operations[Month],$B$11)</f>
        <v>-3973.16</v>
      </c>
    </row>
    <row r="16" spans="1:11" x14ac:dyDescent="0.25">
      <c r="A16" t="s">
        <v>31</v>
      </c>
      <c r="B16" s="6">
        <f ca="1">SUMIFS(operations[Amount],operations[Type],Balance_4[[#This Row],[Type]],operations[Month],$B$11)</f>
        <v>0</v>
      </c>
    </row>
    <row r="17" spans="1:2" x14ac:dyDescent="0.25">
      <c r="A17" t="s">
        <v>37</v>
      </c>
      <c r="B17" s="6">
        <f ca="1">SUBTOTAL(109,Balance_4[Total])</f>
        <v>726.84000000000015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A6184-3837-4C66-B717-D2DAC06CD0FE}">
  <sheetPr codeName="Sheet10"/>
  <dimension ref="A1:K17"/>
  <sheetViews>
    <sheetView workbookViewId="0">
      <selection activeCell="B17" sqref="A13:B17"/>
    </sheetView>
  </sheetViews>
  <sheetFormatPr defaultRowHeight="15" x14ac:dyDescent="0.25"/>
  <cols>
    <col min="1" max="1" width="10" bestFit="1" customWidth="1"/>
    <col min="2" max="2" width="16.28515625" bestFit="1" customWidth="1"/>
    <col min="3" max="3" width="16.28515625" customWidth="1"/>
    <col min="4" max="4" width="13.28515625" bestFit="1" customWidth="1"/>
    <col min="5" max="5" width="15.42578125" customWidth="1"/>
    <col min="7" max="7" width="12" bestFit="1" customWidth="1"/>
    <col min="8" max="8" width="11.140625" bestFit="1" customWidth="1"/>
    <col min="10" max="10" width="13.7109375" bestFit="1" customWidth="1"/>
    <col min="11" max="11" width="10.85546875" bestFit="1" customWidth="1"/>
  </cols>
  <sheetData>
    <row r="1" spans="1:11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11</v>
      </c>
      <c r="B2" t="s">
        <v>8</v>
      </c>
      <c r="C2" s="6" cm="1">
        <f t="array" aca="1" ref="C2" ca="1">INDIRECT("raport_" &amp; $B$11-1 &amp; "[@[Closing balance]]")</f>
        <v>100</v>
      </c>
      <c r="D2" s="6">
        <f ca="1">SUMIFS(operations[Amount],operations[Bank],Raport_3[[#This Row],[Bank]],operations[Product],Raport_3[[#This Row],[Product]],operations[Month],$B$11)</f>
        <v>67.5</v>
      </c>
      <c r="E2" s="6">
        <f ca="1">Raport_3[[#This Row],[Opening balance]]+Raport_3[[#This Row],[Operations]]</f>
        <v>167.5</v>
      </c>
      <c r="G2" s="1" t="s">
        <v>25</v>
      </c>
      <c r="H2" s="6">
        <f ca="1">SUMIFS(operations[Amount],operations[Category],Income_3[[#This Row],[Category]],operations[Month],$B$11)</f>
        <v>0</v>
      </c>
      <c r="J2" t="s">
        <v>18</v>
      </c>
      <c r="K2" s="6">
        <f ca="1">SUMIFS(operations[Amount],operations[Category],Expenses_3[[#This Row],[Category]],operations[Month],$B$11)</f>
        <v>-2000</v>
      </c>
    </row>
    <row r="3" spans="1:11" x14ac:dyDescent="0.25">
      <c r="A3" t="s">
        <v>11</v>
      </c>
      <c r="B3" t="s">
        <v>12</v>
      </c>
      <c r="C3" s="6" cm="1">
        <f t="array" aca="1" ref="C3" ca="1">INDIRECT("raport_" &amp; $B$11-1 &amp; "[@[Closing balance]]")</f>
        <v>281</v>
      </c>
      <c r="D3" s="6">
        <f ca="1">SUMIFS(operations[Amount],operations[Bank],Raport_3[[#This Row],[Bank]],operations[Product],Raport_3[[#This Row],[Product]],operations[Month],$B$11)</f>
        <v>5</v>
      </c>
      <c r="E3" s="6">
        <f ca="1">Raport_3[[#This Row],[Opening balance]]+Raport_3[[#This Row],[Operations]]</f>
        <v>286</v>
      </c>
      <c r="G3" s="1" t="s">
        <v>28</v>
      </c>
      <c r="H3" s="6">
        <f ca="1">SUMIFS(operations[Amount],operations[Category],Income_3[[#This Row],[Category]],operations[Month],$B$11)</f>
        <v>150</v>
      </c>
      <c r="J3" t="s">
        <v>22</v>
      </c>
      <c r="K3" s="6">
        <f ca="1">SUMIFS(operations[Amount],operations[Category],Expenses_3[[#This Row],[Category]],operations[Month],$B$11)</f>
        <v>-469.9</v>
      </c>
    </row>
    <row r="4" spans="1:11" x14ac:dyDescent="0.25">
      <c r="A4" t="s">
        <v>7</v>
      </c>
      <c r="B4" t="s">
        <v>8</v>
      </c>
      <c r="C4" s="6" cm="1">
        <f t="array" aca="1" ref="C4" ca="1">INDIRECT("raport_" &amp; $B$11-1 &amp; "[@[Closing balance]]")</f>
        <v>3739.5</v>
      </c>
      <c r="D4" s="6">
        <f ca="1">SUMIFS(operations[Amount],operations[Bank],Raport_3[[#This Row],[Bank]],operations[Product],Raport_3[[#This Row],[Product]],operations[Month],$B$11)</f>
        <v>821.59999999999991</v>
      </c>
      <c r="E4" s="6">
        <f ca="1">Raport_3[[#This Row],[Opening balance]]+Raport_3[[#This Row],[Operations]]</f>
        <v>4561.1000000000004</v>
      </c>
      <c r="G4" s="1" t="s">
        <v>29</v>
      </c>
      <c r="H4" s="6">
        <f ca="1">SUMIFS(operations[Amount],operations[Category],Income_3[[#This Row],[Category]],operations[Month],$B$11)</f>
        <v>5</v>
      </c>
      <c r="J4" t="s">
        <v>20</v>
      </c>
      <c r="K4" s="6">
        <f ca="1">SUMIFS(operations[Amount],operations[Category],Expenses_3[[#This Row],[Category]],operations[Month],$B$11)</f>
        <v>-200</v>
      </c>
    </row>
    <row r="5" spans="1:11" x14ac:dyDescent="0.25">
      <c r="A5" t="s">
        <v>7</v>
      </c>
      <c r="B5" t="s">
        <v>9</v>
      </c>
      <c r="C5" s="6" cm="1">
        <f t="array" aca="1" ref="C5" ca="1">INDIRECT("raport_" &amp; $B$11-1 &amp; "[@[Closing balance]]")</f>
        <v>0</v>
      </c>
      <c r="D5" s="6">
        <f ca="1">SUMIFS(operations[Amount],operations[Bank],Raport_3[[#This Row],[Bank]],operations[Product],Raport_3[[#This Row],[Product]],operations[Month],$B$11)</f>
        <v>-104.5</v>
      </c>
      <c r="E5" s="6">
        <f ca="1">Raport_3[[#This Row],[Opening balance]]+Raport_3[[#This Row],[Operations]]</f>
        <v>-104.5</v>
      </c>
      <c r="G5" s="1" t="s">
        <v>30</v>
      </c>
      <c r="H5" s="6">
        <f ca="1">SUMIFS(operations[Amount],operations[Category],Income_3[[#This Row],[Category]],operations[Month],$B$11)</f>
        <v>0</v>
      </c>
      <c r="J5" t="s">
        <v>17</v>
      </c>
      <c r="K5" s="6">
        <f ca="1">SUMIFS(operations[Amount],operations[Category],Expenses_3[[#This Row],[Category]],operations[Month],$B$11)</f>
        <v>-734.99</v>
      </c>
    </row>
    <row r="6" spans="1:11" x14ac:dyDescent="0.25">
      <c r="A6" t="s">
        <v>7</v>
      </c>
      <c r="B6" t="s">
        <v>10</v>
      </c>
      <c r="C6" s="6" cm="1">
        <f t="array" aca="1" ref="C6" ca="1">INDIRECT("raport_" &amp; $B$11-1 &amp; "[@[Closing balance]]")</f>
        <v>1200</v>
      </c>
      <c r="D6" s="6">
        <f ca="1">SUMIFS(operations[Amount],operations[Bank],Raport_3[[#This Row],[Bank]],operations[Product],Raport_3[[#This Row],[Product]],operations[Month],$B$11)</f>
        <v>0</v>
      </c>
      <c r="E6" s="6">
        <f ca="1">Raport_3[[#This Row],[Opening balance]]+Raport_3[[#This Row],[Operations]]</f>
        <v>1200</v>
      </c>
      <c r="G6" s="1" t="s">
        <v>26</v>
      </c>
      <c r="H6" s="6">
        <f ca="1">SUMIFS(operations[Amount],operations[Category],Income_3[[#This Row],[Category]],operations[Month],$B$11)</f>
        <v>4500</v>
      </c>
      <c r="J6" t="s">
        <v>21</v>
      </c>
      <c r="K6" s="6">
        <f ca="1">SUMIFS(operations[Amount],operations[Category],Expenses_3[[#This Row],[Category]],operations[Month],$B$11)</f>
        <v>-9.5</v>
      </c>
    </row>
    <row r="7" spans="1:11" x14ac:dyDescent="0.25">
      <c r="A7" t="s">
        <v>13</v>
      </c>
      <c r="B7" t="s">
        <v>15</v>
      </c>
      <c r="C7" s="6" cm="1">
        <f t="array" aca="1" ref="C7" ca="1">INDIRECT("raport_" &amp; $B$11-1 &amp; "[@[Closing balance]]")</f>
        <v>250</v>
      </c>
      <c r="D7" s="6">
        <f ca="1">SUMIFS(operations[Amount],operations[Bank],Raport_3[[#This Row],[Bank]],operations[Product],Raport_3[[#This Row],[Product]],operations[Month],$B$11)</f>
        <v>-24.49</v>
      </c>
      <c r="E7" s="6">
        <f ca="1">Raport_3[[#This Row],[Opening balance]]+Raport_3[[#This Row],[Operations]]</f>
        <v>225.51</v>
      </c>
      <c r="G7" s="1" t="s">
        <v>27</v>
      </c>
      <c r="H7" s="6">
        <f ca="1">SUMIFS(operations[Amount],operations[Category],Income_3[[#This Row],[Category]],operations[Month],$B$11)</f>
        <v>0</v>
      </c>
      <c r="J7" t="s">
        <v>19</v>
      </c>
      <c r="K7" s="6">
        <f ca="1">SUMIFS(operations[Amount],operations[Category],Expenses_3[[#This Row],[Category]],operations[Month],$B$11)</f>
        <v>-23</v>
      </c>
    </row>
    <row r="8" spans="1:11" x14ac:dyDescent="0.25">
      <c r="A8" t="s">
        <v>13</v>
      </c>
      <c r="B8" t="s">
        <v>14</v>
      </c>
      <c r="C8" s="6" cm="1">
        <f t="array" aca="1" ref="C8" ca="1">INDIRECT("raport_" &amp; $B$11-1 &amp; "[@[Closing balance]]")</f>
        <v>680</v>
      </c>
      <c r="D8" s="6">
        <f ca="1">SUMIFS(operations[Amount],operations[Bank],Raport_3[[#This Row],[Bank]],operations[Product],Raport_3[[#This Row],[Product]],operations[Month],$B$11)</f>
        <v>-9.5</v>
      </c>
      <c r="E8" s="6">
        <f ca="1">Raport_3[[#This Row],[Opening balance]]+Raport_3[[#This Row],[Operations]]</f>
        <v>670.5</v>
      </c>
      <c r="G8" t="s">
        <v>37</v>
      </c>
      <c r="H8" s="6">
        <f ca="1">SUBTOTAL(109,Income_3[Total])</f>
        <v>4655</v>
      </c>
      <c r="J8" t="s">
        <v>24</v>
      </c>
      <c r="K8" s="6">
        <f ca="1">SUMIFS(operations[Amount],operations[Category],Expenses_3[[#This Row],[Category]],operations[Month],$B$11)</f>
        <v>-300</v>
      </c>
    </row>
    <row r="9" spans="1:11" x14ac:dyDescent="0.25">
      <c r="A9" s="4" t="s">
        <v>37</v>
      </c>
      <c r="B9" s="4"/>
      <c r="C9" s="6">
        <f ca="1">SUBTOTAL(109,Raport_3[Opening balance])</f>
        <v>6250.5</v>
      </c>
      <c r="D9" s="6">
        <f ca="1">SUBTOTAL(109,Raport_3[Operations])</f>
        <v>755.6099999999999</v>
      </c>
      <c r="E9" s="6">
        <f ca="1">SUBTOTAL(109,Raport_3[Closing balance])</f>
        <v>7006.1100000000006</v>
      </c>
      <c r="J9" t="s">
        <v>23</v>
      </c>
      <c r="K9" s="6">
        <f ca="1">SUMIFS(operations[Amount],operations[Category],Expenses_3[[#This Row],[Category]],operations[Month],$B$11)</f>
        <v>-79.5</v>
      </c>
    </row>
    <row r="10" spans="1:11" x14ac:dyDescent="0.25">
      <c r="J10" t="s">
        <v>16</v>
      </c>
      <c r="K10" s="6">
        <f ca="1">SUMIFS(operations[Amount],operations[Category],Expenses_3[[#This Row],[Category]],operations[Month],$B$11)</f>
        <v>-82.5</v>
      </c>
    </row>
    <row r="11" spans="1:11" x14ac:dyDescent="0.25">
      <c r="A11" t="s">
        <v>6</v>
      </c>
      <c r="B11" s="5" t="str" cm="1">
        <f t="array" aca="1" ref="B11" ca="1">_xlfn.TEXTAFTER(CELL("filename",A1),"]")</f>
        <v>3</v>
      </c>
      <c r="J11" t="s">
        <v>37</v>
      </c>
      <c r="K11" s="6">
        <f ca="1">SUBTOTAL(109,Expenses_3[Total])</f>
        <v>-3899.3900000000003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6">
        <f ca="1">SUMIFS(operations[Amount],operations[Type],Balance_3[[#This Row],[Type]],operations[Month],$B$11)</f>
        <v>4655</v>
      </c>
    </row>
    <row r="15" spans="1:11" x14ac:dyDescent="0.25">
      <c r="A15" t="s">
        <v>38</v>
      </c>
      <c r="B15" s="6">
        <f ca="1">SUMIFS(operations[Amount],operations[Type],Balance_3[[#This Row],[Type]],operations[Month],$B$11)</f>
        <v>-3899.39</v>
      </c>
    </row>
    <row r="16" spans="1:11" x14ac:dyDescent="0.25">
      <c r="A16" t="s">
        <v>31</v>
      </c>
      <c r="B16" s="6">
        <f ca="1">SUMIFS(operations[Amount],operations[Type],Balance_3[[#This Row],[Type]],operations[Month],$B$11)</f>
        <v>0</v>
      </c>
    </row>
    <row r="17" spans="1:2" x14ac:dyDescent="0.25">
      <c r="A17" t="s">
        <v>37</v>
      </c>
      <c r="B17" s="6">
        <f ca="1">SUBTOTAL(109,Balance_3[Total])</f>
        <v>755.61000000000013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290A6-710B-4B54-B8B0-B227468BC1C6}">
  <sheetPr codeName="Sheet11"/>
  <dimension ref="A1:K17"/>
  <sheetViews>
    <sheetView workbookViewId="0">
      <selection activeCell="B17" sqref="A13:B17"/>
    </sheetView>
  </sheetViews>
  <sheetFormatPr defaultRowHeight="15" x14ac:dyDescent="0.25"/>
  <cols>
    <col min="1" max="1" width="10" bestFit="1" customWidth="1"/>
    <col min="2" max="2" width="16.28515625" bestFit="1" customWidth="1"/>
    <col min="3" max="3" width="16.28515625" customWidth="1"/>
    <col min="4" max="4" width="13.28515625" bestFit="1" customWidth="1"/>
    <col min="5" max="5" width="15.42578125" customWidth="1"/>
    <col min="7" max="7" width="12" bestFit="1" customWidth="1"/>
    <col min="8" max="8" width="11.140625" bestFit="1" customWidth="1"/>
    <col min="10" max="10" width="13.7109375" bestFit="1" customWidth="1"/>
    <col min="11" max="11" width="10.85546875" bestFit="1" customWidth="1"/>
  </cols>
  <sheetData>
    <row r="1" spans="1:11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11</v>
      </c>
      <c r="B2" t="s">
        <v>8</v>
      </c>
      <c r="C2" s="6" cm="1">
        <f t="array" aca="1" ref="C2" ca="1">INDIRECT("raport_" &amp; $B$11-1 &amp; "[@[Closing balance]]")</f>
        <v>268.5</v>
      </c>
      <c r="D2" s="6">
        <f ca="1">SUMIFS(operations[Amount],operations[Bank],Raport_5[[#This Row],[Bank]],operations[Product],Raport_5[[#This Row],[Product]],operations[Month],$B$11)</f>
        <v>-50</v>
      </c>
      <c r="E2" s="6">
        <f ca="1">Raport_5[[#This Row],[Opening balance]]+Raport_5[[#This Row],[Operations]]</f>
        <v>218.5</v>
      </c>
      <c r="G2" s="1" t="s">
        <v>25</v>
      </c>
      <c r="H2" s="6">
        <f ca="1">SUMIFS(operations[Amount],operations[Category],Income_5[[#This Row],[Category]],operations[Month],$B$11)</f>
        <v>0</v>
      </c>
      <c r="J2" t="s">
        <v>18</v>
      </c>
      <c r="K2" s="6">
        <f ca="1">SUMIFS(operations[Amount],operations[Category],Expenses_5[[#This Row],[Category]],operations[Month],$B$11)</f>
        <v>-2000</v>
      </c>
    </row>
    <row r="3" spans="1:11" x14ac:dyDescent="0.25">
      <c r="A3" t="s">
        <v>11</v>
      </c>
      <c r="B3" t="s">
        <v>12</v>
      </c>
      <c r="C3" s="6" cm="1">
        <f t="array" aca="1" ref="C3" ca="1">INDIRECT("raport_" &amp; $B$11-1 &amp; "[@[Closing balance]]")</f>
        <v>336</v>
      </c>
      <c r="D3" s="6">
        <f ca="1">SUMIFS(operations[Amount],operations[Bank],Raport_5[[#This Row],[Bank]],operations[Product],Raport_5[[#This Row],[Product]],operations[Month],$B$11)</f>
        <v>0</v>
      </c>
      <c r="E3" s="6">
        <f ca="1">Raport_5[[#This Row],[Opening balance]]+Raport_5[[#This Row],[Operations]]</f>
        <v>336</v>
      </c>
      <c r="G3" s="1" t="s">
        <v>28</v>
      </c>
      <c r="H3" s="6">
        <f ca="1">SUMIFS(operations[Amount],operations[Category],Income_5[[#This Row],[Category]],operations[Month],$B$11)</f>
        <v>0</v>
      </c>
      <c r="J3" t="s">
        <v>22</v>
      </c>
      <c r="K3" s="6">
        <f ca="1">SUMIFS(operations[Amount],operations[Category],Expenses_5[[#This Row],[Category]],operations[Month],$B$11)</f>
        <v>0</v>
      </c>
    </row>
    <row r="4" spans="1:11" x14ac:dyDescent="0.25">
      <c r="A4" t="s">
        <v>7</v>
      </c>
      <c r="B4" t="s">
        <v>8</v>
      </c>
      <c r="C4" s="6" cm="1">
        <f t="array" aca="1" ref="C4" ca="1">INDIRECT("raport_" &amp; $B$11-1 &amp; "[@[Closing balance]]")</f>
        <v>5123.83</v>
      </c>
      <c r="D4" s="6">
        <f ca="1">SUMIFS(operations[Amount],operations[Bank],Raport_5[[#This Row],[Bank]],operations[Product],Raport_5[[#This Row],[Product]],operations[Month],$B$11)</f>
        <v>2328.61</v>
      </c>
      <c r="E4" s="6">
        <f ca="1">Raport_5[[#This Row],[Opening balance]]+Raport_5[[#This Row],[Operations]]</f>
        <v>7452.4400000000005</v>
      </c>
      <c r="G4" s="1" t="s">
        <v>29</v>
      </c>
      <c r="H4" s="6">
        <f ca="1">SUMIFS(operations[Amount],operations[Category],Income_5[[#This Row],[Category]],operations[Month],$B$11)</f>
        <v>0</v>
      </c>
      <c r="J4" t="s">
        <v>20</v>
      </c>
      <c r="K4" s="6">
        <f ca="1">SUMIFS(operations[Amount],operations[Category],Expenses_5[[#This Row],[Category]],operations[Month],$B$11)</f>
        <v>-80</v>
      </c>
    </row>
    <row r="5" spans="1:11" x14ac:dyDescent="0.25">
      <c r="A5" t="s">
        <v>7</v>
      </c>
      <c r="B5" t="s">
        <v>9</v>
      </c>
      <c r="C5" s="6" cm="1">
        <f t="array" aca="1" ref="C5" ca="1">INDIRECT("raport_" &amp; $B$11-1 &amp; "[@[Closing balance]]")</f>
        <v>-91.389999999999986</v>
      </c>
      <c r="D5" s="6">
        <f ca="1">SUMIFS(operations[Amount],operations[Bank],Raport_5[[#This Row],[Bank]],operations[Product],Raport_5[[#This Row],[Product]],operations[Month],$B$11)</f>
        <v>-908.61</v>
      </c>
      <c r="E5" s="6">
        <f ca="1">Raport_5[[#This Row],[Opening balance]]+Raport_5[[#This Row],[Operations]]</f>
        <v>-1000</v>
      </c>
      <c r="G5" s="1" t="s">
        <v>30</v>
      </c>
      <c r="H5" s="6">
        <f ca="1">SUMIFS(operations[Amount],operations[Category],Income_5[[#This Row],[Category]],operations[Month],$B$11)</f>
        <v>0</v>
      </c>
      <c r="J5" t="s">
        <v>17</v>
      </c>
      <c r="K5" s="6">
        <f ca="1">SUMIFS(operations[Amount],operations[Category],Expenses_5[[#This Row],[Category]],operations[Month],$B$11)</f>
        <v>-1000</v>
      </c>
    </row>
    <row r="6" spans="1:11" x14ac:dyDescent="0.25">
      <c r="A6" t="s">
        <v>7</v>
      </c>
      <c r="B6" t="s">
        <v>10</v>
      </c>
      <c r="C6" s="6" cm="1">
        <f t="array" aca="1" ref="C6" ca="1">INDIRECT("raport_" &amp; $B$11-1 &amp; "[@[Closing balance]]")</f>
        <v>1200</v>
      </c>
      <c r="D6" s="6">
        <f ca="1">SUMIFS(operations[Amount],operations[Bank],Raport_5[[#This Row],[Bank]],operations[Product],Raport_5[[#This Row],[Product]],operations[Month],$B$11)</f>
        <v>0</v>
      </c>
      <c r="E6" s="6">
        <f ca="1">Raport_5[[#This Row],[Opening balance]]+Raport_5[[#This Row],[Operations]]</f>
        <v>1200</v>
      </c>
      <c r="G6" s="1" t="s">
        <v>26</v>
      </c>
      <c r="H6" s="6">
        <f ca="1">SUMIFS(operations[Amount],operations[Category],Income_5[[#This Row],[Category]],operations[Month],$B$11)</f>
        <v>4500</v>
      </c>
      <c r="J6" t="s">
        <v>21</v>
      </c>
      <c r="K6" s="6">
        <f ca="1">SUMIFS(operations[Amount],operations[Category],Expenses_5[[#This Row],[Category]],operations[Month],$B$11)</f>
        <v>0</v>
      </c>
    </row>
    <row r="7" spans="1:11" x14ac:dyDescent="0.25">
      <c r="A7" t="s">
        <v>13</v>
      </c>
      <c r="B7" t="s">
        <v>15</v>
      </c>
      <c r="C7" s="6" cm="1">
        <f t="array" aca="1" ref="C7" ca="1">INDIRECT("raport_" &amp; $B$11-1 &amp; "[@[Closing balance]]")</f>
        <v>225.51</v>
      </c>
      <c r="D7" s="6">
        <f ca="1">SUMIFS(operations[Amount],operations[Bank],Raport_5[[#This Row],[Bank]],operations[Product],Raport_5[[#This Row],[Product]],operations[Month],$B$11)</f>
        <v>0</v>
      </c>
      <c r="E7" s="6">
        <f ca="1">Raport_5[[#This Row],[Opening balance]]+Raport_5[[#This Row],[Operations]]</f>
        <v>225.51</v>
      </c>
      <c r="G7" s="1" t="s">
        <v>27</v>
      </c>
      <c r="H7" s="6">
        <f ca="1">SUMIFS(operations[Amount],operations[Category],Income_5[[#This Row],[Category]],operations[Month],$B$11)</f>
        <v>0</v>
      </c>
      <c r="J7" t="s">
        <v>19</v>
      </c>
      <c r="K7" s="6">
        <f ca="1">SUMIFS(operations[Amount],operations[Category],Expenses_5[[#This Row],[Category]],operations[Month],$B$11)</f>
        <v>-50</v>
      </c>
    </row>
    <row r="8" spans="1:11" x14ac:dyDescent="0.25">
      <c r="A8" t="s">
        <v>13</v>
      </c>
      <c r="B8" t="s">
        <v>14</v>
      </c>
      <c r="C8" s="6" cm="1">
        <f t="array" aca="1" ref="C8" ca="1">INDIRECT("raport_" &amp; $B$11-1 &amp; "[@[Closing balance]]")</f>
        <v>670.5</v>
      </c>
      <c r="D8" s="6">
        <f ca="1">SUMIFS(operations[Amount],operations[Bank],Raport_5[[#This Row],[Bank]],operations[Product],Raport_5[[#This Row],[Product]],operations[Month],$B$11)</f>
        <v>-80</v>
      </c>
      <c r="E8" s="6">
        <f ca="1">Raport_5[[#This Row],[Opening balance]]+Raport_5[[#This Row],[Operations]]</f>
        <v>590.5</v>
      </c>
      <c r="G8" t="s">
        <v>37</v>
      </c>
      <c r="H8" s="6">
        <f ca="1">SUBTOTAL(109,Income_5[Total])</f>
        <v>4500</v>
      </c>
      <c r="J8" t="s">
        <v>24</v>
      </c>
      <c r="K8" s="6">
        <f ca="1">SUMIFS(operations[Amount],operations[Category],Expenses_5[[#This Row],[Category]],operations[Month],$B$11)</f>
        <v>0</v>
      </c>
    </row>
    <row r="9" spans="1:11" x14ac:dyDescent="0.25">
      <c r="A9" s="4" t="s">
        <v>37</v>
      </c>
      <c r="B9" s="4"/>
      <c r="C9" s="6">
        <f ca="1">SUBTOTAL(109,Raport_5[Opening balance])</f>
        <v>7732.95</v>
      </c>
      <c r="D9" s="6">
        <f ca="1">SUBTOTAL(109,Raport_5[Operations])</f>
        <v>1290</v>
      </c>
      <c r="E9" s="6">
        <f ca="1">SUBTOTAL(109,Raport_5[Closing balance])</f>
        <v>9022.9500000000007</v>
      </c>
      <c r="J9" t="s">
        <v>23</v>
      </c>
      <c r="K9" s="6">
        <f ca="1">SUMIFS(operations[Amount],operations[Category],Expenses_5[[#This Row],[Category]],operations[Month],$B$11)</f>
        <v>0</v>
      </c>
    </row>
    <row r="10" spans="1:11" x14ac:dyDescent="0.25">
      <c r="J10" t="s">
        <v>16</v>
      </c>
      <c r="K10" s="6">
        <f ca="1">SUMIFS(operations[Amount],operations[Category],Expenses_5[[#This Row],[Category]],operations[Month],$B$11)</f>
        <v>-80</v>
      </c>
    </row>
    <row r="11" spans="1:11" x14ac:dyDescent="0.25">
      <c r="A11" t="s">
        <v>6</v>
      </c>
      <c r="B11" s="5" t="str" cm="1">
        <f t="array" aca="1" ref="B11" ca="1">_xlfn.TEXTAFTER(CELL("filename",A1),"]")</f>
        <v>5</v>
      </c>
      <c r="J11" t="s">
        <v>37</v>
      </c>
      <c r="K11" s="6">
        <f ca="1">SUBTOTAL(109,Expenses_5[Total])</f>
        <v>-3210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6">
        <f ca="1">SUMIFS(operations[Amount],operations[Type],Balance_5[[#This Row],[Type]],operations[Month],$B$11)</f>
        <v>4500</v>
      </c>
    </row>
    <row r="15" spans="1:11" x14ac:dyDescent="0.25">
      <c r="A15" t="s">
        <v>38</v>
      </c>
      <c r="B15" s="6">
        <f ca="1">SUMIFS(operations[Amount],operations[Type],Balance_5[[#This Row],[Type]],operations[Month],$B$11)</f>
        <v>-3210</v>
      </c>
    </row>
    <row r="16" spans="1:11" x14ac:dyDescent="0.25">
      <c r="A16" t="s">
        <v>31</v>
      </c>
      <c r="B16" s="6">
        <f ca="1">SUMIFS(operations[Amount],operations[Type],Balance_5[[#This Row],[Type]],operations[Month],$B$11)</f>
        <v>0</v>
      </c>
    </row>
    <row r="17" spans="1:2" x14ac:dyDescent="0.25">
      <c r="A17" t="s">
        <v>37</v>
      </c>
      <c r="B17" s="6">
        <f ca="1">SUBTOTAL(109,Balance_5[Total])</f>
        <v>1290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63B7-25C1-47D6-8002-03D07A6BCF61}">
  <sheetPr codeName="Sheet12"/>
  <dimension ref="A1:K17"/>
  <sheetViews>
    <sheetView workbookViewId="0">
      <selection activeCell="B17" sqref="A13:B17"/>
    </sheetView>
  </sheetViews>
  <sheetFormatPr defaultRowHeight="15" x14ac:dyDescent="0.25"/>
  <cols>
    <col min="1" max="1" width="10" bestFit="1" customWidth="1"/>
    <col min="2" max="2" width="16.28515625" bestFit="1" customWidth="1"/>
    <col min="3" max="3" width="16.28515625" customWidth="1"/>
    <col min="4" max="4" width="13.28515625" bestFit="1" customWidth="1"/>
    <col min="5" max="5" width="15.42578125" customWidth="1"/>
    <col min="7" max="7" width="12" bestFit="1" customWidth="1"/>
    <col min="8" max="8" width="11.140625" bestFit="1" customWidth="1"/>
    <col min="10" max="10" width="13.7109375" bestFit="1" customWidth="1"/>
    <col min="11" max="11" width="10.85546875" bestFit="1" customWidth="1"/>
  </cols>
  <sheetData>
    <row r="1" spans="1:11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11</v>
      </c>
      <c r="B2" t="s">
        <v>8</v>
      </c>
      <c r="C2" s="6" cm="1">
        <f t="array" aca="1" ref="C2" ca="1">INDIRECT("raport_" &amp; $B$11-1 &amp; "[@[Closing balance]]")</f>
        <v>218.5</v>
      </c>
      <c r="D2" s="6">
        <f ca="1">SUMIFS(operations[Amount],operations[Bank],Raport_6[[#This Row],[Bank]],operations[Product],Raport_6[[#This Row],[Product]],operations[Month],$B$11)</f>
        <v>250</v>
      </c>
      <c r="E2" s="6">
        <f ca="1">Raport_6[[#This Row],[Opening balance]]+Raport_6[[#This Row],[Operations]]</f>
        <v>468.5</v>
      </c>
      <c r="G2" s="1" t="s">
        <v>25</v>
      </c>
      <c r="H2" s="6">
        <f ca="1">SUMIFS(operations[Amount],operations[Category],Income_6[[#This Row],[Category]],operations[Month],$B$11)</f>
        <v>400</v>
      </c>
      <c r="J2" t="s">
        <v>18</v>
      </c>
      <c r="K2" s="6">
        <f ca="1">SUMIFS(operations[Amount],operations[Category],Expenses_6[[#This Row],[Category]],operations[Month],$B$11)</f>
        <v>-2000</v>
      </c>
    </row>
    <row r="3" spans="1:11" x14ac:dyDescent="0.25">
      <c r="A3" t="s">
        <v>11</v>
      </c>
      <c r="B3" t="s">
        <v>12</v>
      </c>
      <c r="C3" s="6" cm="1">
        <f t="array" aca="1" ref="C3" ca="1">INDIRECT("raport_" &amp; $B$11-1 &amp; "[@[Closing balance]]")</f>
        <v>336</v>
      </c>
      <c r="D3" s="6">
        <f ca="1">SUMIFS(operations[Amount],operations[Bank],Raport_6[[#This Row],[Bank]],operations[Product],Raport_6[[#This Row],[Product]],operations[Month],$B$11)</f>
        <v>0</v>
      </c>
      <c r="E3" s="6">
        <f ca="1">Raport_6[[#This Row],[Opening balance]]+Raport_6[[#This Row],[Operations]]</f>
        <v>336</v>
      </c>
      <c r="G3" s="1" t="s">
        <v>28</v>
      </c>
      <c r="H3" s="6">
        <f ca="1">SUMIFS(operations[Amount],operations[Category],Income_6[[#This Row],[Category]],operations[Month],$B$11)</f>
        <v>0</v>
      </c>
      <c r="J3" t="s">
        <v>22</v>
      </c>
      <c r="K3" s="6">
        <f ca="1">SUMIFS(operations[Amount],operations[Category],Expenses_6[[#This Row],[Category]],operations[Month],$B$11)</f>
        <v>-300</v>
      </c>
    </row>
    <row r="4" spans="1:11" x14ac:dyDescent="0.25">
      <c r="A4" t="s">
        <v>7</v>
      </c>
      <c r="B4" t="s">
        <v>8</v>
      </c>
      <c r="C4" s="6" cm="1">
        <f t="array" aca="1" ref="C4" ca="1">INDIRECT("raport_" &amp; $B$11-1 &amp; "[@[Closing balance]]")</f>
        <v>7452.4400000000005</v>
      </c>
      <c r="D4" s="6">
        <f ca="1">SUMIFS(operations[Amount],operations[Bank],Raport_6[[#This Row],[Bank]],operations[Product],Raport_6[[#This Row],[Product]],operations[Month],$B$11)</f>
        <v>1420</v>
      </c>
      <c r="E4" s="6">
        <f ca="1">Raport_6[[#This Row],[Opening balance]]+Raport_6[[#This Row],[Operations]]</f>
        <v>8872.44</v>
      </c>
      <c r="G4" s="1" t="s">
        <v>29</v>
      </c>
      <c r="H4" s="6">
        <f ca="1">SUMIFS(operations[Amount],operations[Category],Income_6[[#This Row],[Category]],operations[Month],$B$11)</f>
        <v>0</v>
      </c>
      <c r="J4" t="s">
        <v>20</v>
      </c>
      <c r="K4" s="6">
        <f ca="1">SUMIFS(operations[Amount],operations[Category],Expenses_6[[#This Row],[Category]],operations[Month],$B$11)</f>
        <v>-200</v>
      </c>
    </row>
    <row r="5" spans="1:11" x14ac:dyDescent="0.25">
      <c r="A5" t="s">
        <v>7</v>
      </c>
      <c r="B5" t="s">
        <v>9</v>
      </c>
      <c r="C5" s="6" cm="1">
        <f t="array" aca="1" ref="C5" ca="1">INDIRECT("raport_" &amp; $B$11-1 &amp; "[@[Closing balance]]")</f>
        <v>-1000</v>
      </c>
      <c r="D5" s="6">
        <f ca="1">SUMIFS(operations[Amount],operations[Bank],Raport_6[[#This Row],[Bank]],operations[Product],Raport_6[[#This Row],[Product]],operations[Month],$B$11)</f>
        <v>-300</v>
      </c>
      <c r="E5" s="6">
        <f ca="1">Raport_6[[#This Row],[Opening balance]]+Raport_6[[#This Row],[Operations]]</f>
        <v>-1300</v>
      </c>
      <c r="G5" s="1" t="s">
        <v>30</v>
      </c>
      <c r="H5" s="6">
        <f ca="1">SUMIFS(operations[Amount],operations[Category],Income_6[[#This Row],[Category]],operations[Month],$B$11)</f>
        <v>0</v>
      </c>
      <c r="J5" t="s">
        <v>17</v>
      </c>
      <c r="K5" s="6">
        <f ca="1">SUMIFS(operations[Amount],operations[Category],Expenses_6[[#This Row],[Category]],operations[Month],$B$11)</f>
        <v>-1000</v>
      </c>
    </row>
    <row r="6" spans="1:11" x14ac:dyDescent="0.25">
      <c r="A6" t="s">
        <v>7</v>
      </c>
      <c r="B6" t="s">
        <v>10</v>
      </c>
      <c r="C6" s="6" cm="1">
        <f t="array" aca="1" ref="C6" ca="1">INDIRECT("raport_" &amp; $B$11-1 &amp; "[@[Closing balance]]")</f>
        <v>1200</v>
      </c>
      <c r="D6" s="6">
        <f ca="1">SUMIFS(operations[Amount],operations[Bank],Raport_6[[#This Row],[Bank]],operations[Product],Raport_6[[#This Row],[Product]],operations[Month],$B$11)</f>
        <v>0</v>
      </c>
      <c r="E6" s="6">
        <f ca="1">Raport_6[[#This Row],[Opening balance]]+Raport_6[[#This Row],[Operations]]</f>
        <v>1200</v>
      </c>
      <c r="G6" s="1" t="s">
        <v>26</v>
      </c>
      <c r="H6" s="6">
        <f ca="1">SUMIFS(operations[Amount],operations[Category],Income_6[[#This Row],[Category]],operations[Month],$B$11)</f>
        <v>4500</v>
      </c>
      <c r="J6" t="s">
        <v>21</v>
      </c>
      <c r="K6" s="6">
        <f ca="1">SUMIFS(operations[Amount],operations[Category],Expenses_6[[#This Row],[Category]],operations[Month],$B$11)</f>
        <v>-100</v>
      </c>
    </row>
    <row r="7" spans="1:11" x14ac:dyDescent="0.25">
      <c r="A7" t="s">
        <v>13</v>
      </c>
      <c r="B7" t="s">
        <v>15</v>
      </c>
      <c r="C7" s="6" cm="1">
        <f t="array" aca="1" ref="C7" ca="1">INDIRECT("raport_" &amp; $B$11-1 &amp; "[@[Closing balance]]")</f>
        <v>225.51</v>
      </c>
      <c r="D7" s="6">
        <f ca="1">SUMIFS(operations[Amount],operations[Bank],Raport_6[[#This Row],[Bank]],operations[Product],Raport_6[[#This Row],[Product]],operations[Month],$B$11)</f>
        <v>0</v>
      </c>
      <c r="E7" s="6">
        <f ca="1">Raport_6[[#This Row],[Opening balance]]+Raport_6[[#This Row],[Operations]]</f>
        <v>225.51</v>
      </c>
      <c r="G7" s="1" t="s">
        <v>27</v>
      </c>
      <c r="H7" s="6">
        <f ca="1">SUMIFS(operations[Amount],operations[Category],Income_6[[#This Row],[Category]],operations[Month],$B$11)</f>
        <v>0</v>
      </c>
      <c r="J7" t="s">
        <v>19</v>
      </c>
      <c r="K7" s="6">
        <f ca="1">SUMIFS(operations[Amount],operations[Category],Expenses_6[[#This Row],[Category]],operations[Month],$B$11)</f>
        <v>-50</v>
      </c>
    </row>
    <row r="8" spans="1:11" x14ac:dyDescent="0.25">
      <c r="A8" t="s">
        <v>13</v>
      </c>
      <c r="B8" t="s">
        <v>14</v>
      </c>
      <c r="C8" s="6" cm="1">
        <f t="array" aca="1" ref="C8" ca="1">INDIRECT("raport_" &amp; $B$11-1 &amp; "[@[Closing balance]]")</f>
        <v>590.5</v>
      </c>
      <c r="D8" s="6">
        <f ca="1">SUMIFS(operations[Amount],operations[Bank],Raport_6[[#This Row],[Bank]],operations[Product],Raport_6[[#This Row],[Product]],operations[Month],$B$11)</f>
        <v>-200</v>
      </c>
      <c r="E8" s="6">
        <f ca="1">Raport_6[[#This Row],[Opening balance]]+Raport_6[[#This Row],[Operations]]</f>
        <v>390.5</v>
      </c>
      <c r="G8" t="s">
        <v>37</v>
      </c>
      <c r="H8" s="6">
        <f ca="1">SUBTOTAL(109,Income_6[Total])</f>
        <v>4900</v>
      </c>
      <c r="J8" t="s">
        <v>24</v>
      </c>
      <c r="K8" s="6">
        <f ca="1">SUMIFS(operations[Amount],operations[Category],Expenses_6[[#This Row],[Category]],operations[Month],$B$11)</f>
        <v>0</v>
      </c>
    </row>
    <row r="9" spans="1:11" x14ac:dyDescent="0.25">
      <c r="A9" s="4" t="s">
        <v>37</v>
      </c>
      <c r="B9" s="4"/>
      <c r="C9" s="6">
        <f ca="1">SUBTOTAL(109,Raport_6[Opening balance])</f>
        <v>9022.9500000000007</v>
      </c>
      <c r="D9" s="6">
        <f ca="1">SUBTOTAL(109,Raport_6[Operations])</f>
        <v>1170</v>
      </c>
      <c r="E9" s="6">
        <f ca="1">SUBTOTAL(109,Raport_6[Closing balance])</f>
        <v>10192.950000000001</v>
      </c>
      <c r="J9" t="s">
        <v>23</v>
      </c>
      <c r="K9" s="6">
        <f ca="1">SUMIFS(operations[Amount],operations[Category],Expenses_6[[#This Row],[Category]],operations[Month],$B$11)</f>
        <v>0</v>
      </c>
    </row>
    <row r="10" spans="1:11" x14ac:dyDescent="0.25">
      <c r="J10" t="s">
        <v>16</v>
      </c>
      <c r="K10" s="6">
        <f ca="1">SUMIFS(operations[Amount],operations[Category],Expenses_6[[#This Row],[Category]],operations[Month],$B$11)</f>
        <v>-80</v>
      </c>
    </row>
    <row r="11" spans="1:11" x14ac:dyDescent="0.25">
      <c r="A11" t="s">
        <v>6</v>
      </c>
      <c r="B11" s="5" t="str" cm="1">
        <f t="array" aca="1" ref="B11" ca="1">_xlfn.TEXTAFTER(CELL("filename",A1),"]")</f>
        <v>6</v>
      </c>
      <c r="J11" t="s">
        <v>37</v>
      </c>
      <c r="K11" s="6">
        <f ca="1">SUBTOTAL(109,Expenses_6[Total])</f>
        <v>-3730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6">
        <f ca="1">SUMIFS(operations[Amount],operations[Type],Balance_6[[#This Row],[Type]],operations[Month],$B$11)</f>
        <v>4900</v>
      </c>
    </row>
    <row r="15" spans="1:11" x14ac:dyDescent="0.25">
      <c r="A15" t="s">
        <v>38</v>
      </c>
      <c r="B15" s="6">
        <f ca="1">SUMIFS(operations[Amount],operations[Type],Balance_6[[#This Row],[Type]],operations[Month],$B$11)</f>
        <v>-3730</v>
      </c>
    </row>
    <row r="16" spans="1:11" x14ac:dyDescent="0.25">
      <c r="A16" t="s">
        <v>31</v>
      </c>
      <c r="B16" s="6">
        <f ca="1">SUMIFS(operations[Amount],operations[Type],Balance_6[[#This Row],[Type]],operations[Month],$B$11)</f>
        <v>0</v>
      </c>
    </row>
    <row r="17" spans="1:2" x14ac:dyDescent="0.25">
      <c r="A17" t="s">
        <v>37</v>
      </c>
      <c r="B17" s="6">
        <f ca="1">SUBTOTAL(109,Balance_6[Total])</f>
        <v>1170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F5C0C-E579-41EB-A583-8B3A04555331}">
  <sheetPr codeName="Sheet13"/>
  <dimension ref="A1:K17"/>
  <sheetViews>
    <sheetView workbookViewId="0">
      <selection activeCell="B17" sqref="A13:B17"/>
    </sheetView>
  </sheetViews>
  <sheetFormatPr defaultRowHeight="15" x14ac:dyDescent="0.25"/>
  <cols>
    <col min="1" max="1" width="10" bestFit="1" customWidth="1"/>
    <col min="2" max="2" width="16.28515625" bestFit="1" customWidth="1"/>
    <col min="3" max="3" width="16.28515625" customWidth="1"/>
    <col min="4" max="4" width="13.28515625" bestFit="1" customWidth="1"/>
    <col min="5" max="5" width="15.42578125" customWidth="1"/>
    <col min="7" max="7" width="12" bestFit="1" customWidth="1"/>
    <col min="8" max="8" width="11.140625" bestFit="1" customWidth="1"/>
    <col min="10" max="10" width="13.7109375" bestFit="1" customWidth="1"/>
    <col min="11" max="11" width="10.85546875" bestFit="1" customWidth="1"/>
  </cols>
  <sheetData>
    <row r="1" spans="1:11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11</v>
      </c>
      <c r="B2" t="s">
        <v>8</v>
      </c>
      <c r="C2" s="6" cm="1">
        <f t="array" aca="1" ref="C2" ca="1">INDIRECT("raport_" &amp; $B$11-1 &amp; "[@[Closing balance]]")</f>
        <v>468.5</v>
      </c>
      <c r="D2" s="6">
        <f ca="1">SUMIFS(operations[Amount],operations[Bank],Raport_7[[#This Row],[Bank]],operations[Product],Raport_7[[#This Row],[Product]],operations[Month],$B$11)</f>
        <v>-100</v>
      </c>
      <c r="E2" s="6">
        <f ca="1">Raport_7[[#This Row],[Opening balance]]+Raport_7[[#This Row],[Operations]]</f>
        <v>368.5</v>
      </c>
      <c r="G2" s="1" t="s">
        <v>25</v>
      </c>
      <c r="H2" s="6">
        <f ca="1">SUMIFS(operations[Amount],operations[Category],Income_7[[#This Row],[Category]],operations[Month],$B$11)</f>
        <v>0</v>
      </c>
      <c r="J2" t="s">
        <v>18</v>
      </c>
      <c r="K2" s="6">
        <f ca="1">SUMIFS(operations[Amount],operations[Category],Expenses_7[[#This Row],[Category]],operations[Month],$B$11)</f>
        <v>-2000</v>
      </c>
    </row>
    <row r="3" spans="1:11" x14ac:dyDescent="0.25">
      <c r="A3" t="s">
        <v>11</v>
      </c>
      <c r="B3" t="s">
        <v>12</v>
      </c>
      <c r="C3" s="6" cm="1">
        <f t="array" aca="1" ref="C3" ca="1">INDIRECT("raport_" &amp; $B$11-1 &amp; "[@[Closing balance]]")</f>
        <v>336</v>
      </c>
      <c r="D3" s="6">
        <f ca="1">SUMIFS(operations[Amount],operations[Bank],Raport_7[[#This Row],[Bank]],operations[Product],Raport_7[[#This Row],[Product]],operations[Month],$B$11)</f>
        <v>1050</v>
      </c>
      <c r="E3" s="6">
        <f ca="1">Raport_7[[#This Row],[Opening balance]]+Raport_7[[#This Row],[Operations]]</f>
        <v>1386</v>
      </c>
      <c r="G3" s="1" t="s">
        <v>28</v>
      </c>
      <c r="H3" s="6">
        <f ca="1">SUMIFS(operations[Amount],operations[Category],Income_7[[#This Row],[Category]],operations[Month],$B$11)</f>
        <v>120</v>
      </c>
      <c r="J3" t="s">
        <v>22</v>
      </c>
      <c r="K3" s="6">
        <f ca="1">SUMIFS(operations[Amount],operations[Category],Expenses_7[[#This Row],[Category]],operations[Month],$B$11)</f>
        <v>250</v>
      </c>
    </row>
    <row r="4" spans="1:11" x14ac:dyDescent="0.25">
      <c r="A4" t="s">
        <v>7</v>
      </c>
      <c r="B4" t="s">
        <v>8</v>
      </c>
      <c r="C4" s="6" cm="1">
        <f t="array" aca="1" ref="C4" ca="1">INDIRECT("raport_" &amp; $B$11-1 &amp; "[@[Closing balance]]")</f>
        <v>8872.44</v>
      </c>
      <c r="D4" s="6">
        <f ca="1">SUMIFS(operations[Amount],operations[Bank],Raport_7[[#This Row],[Bank]],operations[Product],Raport_7[[#This Row],[Product]],operations[Month],$B$11)</f>
        <v>1010</v>
      </c>
      <c r="E4" s="6">
        <f ca="1">Raport_7[[#This Row],[Opening balance]]+Raport_7[[#This Row],[Operations]]</f>
        <v>9882.44</v>
      </c>
      <c r="G4" s="1" t="s">
        <v>29</v>
      </c>
      <c r="H4" s="6">
        <f ca="1">SUMIFS(operations[Amount],operations[Category],Income_7[[#This Row],[Category]],operations[Month],$B$11)</f>
        <v>800</v>
      </c>
      <c r="J4" t="s">
        <v>20</v>
      </c>
      <c r="K4" s="6">
        <f ca="1">SUMIFS(operations[Amount],operations[Category],Expenses_7[[#This Row],[Category]],operations[Month],$B$11)</f>
        <v>-700</v>
      </c>
    </row>
    <row r="5" spans="1:11" x14ac:dyDescent="0.25">
      <c r="A5" t="s">
        <v>7</v>
      </c>
      <c r="B5" t="s">
        <v>9</v>
      </c>
      <c r="C5" s="6" cm="1">
        <f t="array" aca="1" ref="C5" ca="1">INDIRECT("raport_" &amp; $B$11-1 &amp; "[@[Closing balance]]")</f>
        <v>-1300</v>
      </c>
      <c r="D5" s="6">
        <f ca="1">SUMIFS(operations[Amount],operations[Bank],Raport_7[[#This Row],[Bank]],operations[Product],Raport_7[[#This Row],[Product]],operations[Month],$B$11)</f>
        <v>1165</v>
      </c>
      <c r="E5" s="6">
        <f ca="1">Raport_7[[#This Row],[Opening balance]]+Raport_7[[#This Row],[Operations]]</f>
        <v>-135</v>
      </c>
      <c r="G5" s="1" t="s">
        <v>30</v>
      </c>
      <c r="H5" s="6">
        <f ca="1">SUMIFS(operations[Amount],operations[Category],Income_7[[#This Row],[Category]],operations[Month],$B$11)</f>
        <v>0</v>
      </c>
      <c r="J5" t="s">
        <v>17</v>
      </c>
      <c r="K5" s="6">
        <f ca="1">SUMIFS(operations[Amount],operations[Category],Expenses_7[[#This Row],[Category]],operations[Month],$B$11)</f>
        <v>-165</v>
      </c>
    </row>
    <row r="6" spans="1:11" x14ac:dyDescent="0.25">
      <c r="A6" t="s">
        <v>7</v>
      </c>
      <c r="B6" t="s">
        <v>10</v>
      </c>
      <c r="C6" s="6" cm="1">
        <f t="array" aca="1" ref="C6" ca="1">INDIRECT("raport_" &amp; $B$11-1 &amp; "[@[Closing balance]]")</f>
        <v>1200</v>
      </c>
      <c r="D6" s="6">
        <f ca="1">SUMIFS(operations[Amount],operations[Bank],Raport_7[[#This Row],[Bank]],operations[Product],Raport_7[[#This Row],[Product]],operations[Month],$B$11)</f>
        <v>-180</v>
      </c>
      <c r="E6" s="6">
        <f ca="1">Raport_7[[#This Row],[Opening balance]]+Raport_7[[#This Row],[Operations]]</f>
        <v>1020</v>
      </c>
      <c r="G6" s="1" t="s">
        <v>26</v>
      </c>
      <c r="H6" s="6">
        <f ca="1">SUMIFS(operations[Amount],operations[Category],Income_7[[#This Row],[Category]],operations[Month],$B$11)</f>
        <v>4500</v>
      </c>
      <c r="J6" t="s">
        <v>21</v>
      </c>
      <c r="K6" s="6">
        <f ca="1">SUMIFS(operations[Amount],operations[Category],Expenses_7[[#This Row],[Category]],operations[Month],$B$11)</f>
        <v>-300</v>
      </c>
    </row>
    <row r="7" spans="1:11" x14ac:dyDescent="0.25">
      <c r="A7" t="s">
        <v>13</v>
      </c>
      <c r="B7" t="s">
        <v>15</v>
      </c>
      <c r="C7" s="6" cm="1">
        <f t="array" aca="1" ref="C7" ca="1">INDIRECT("raport_" &amp; $B$11-1 &amp; "[@[Closing balance]]")</f>
        <v>225.51</v>
      </c>
      <c r="D7" s="6">
        <f ca="1">SUMIFS(operations[Amount],operations[Bank],Raport_7[[#This Row],[Bank]],operations[Product],Raport_7[[#This Row],[Product]],operations[Month],$B$11)</f>
        <v>-30</v>
      </c>
      <c r="E7" s="6">
        <f ca="1">Raport_7[[#This Row],[Opening balance]]+Raport_7[[#This Row],[Operations]]</f>
        <v>195.51</v>
      </c>
      <c r="G7" s="1" t="s">
        <v>27</v>
      </c>
      <c r="H7" s="6">
        <f ca="1">SUMIFS(operations[Amount],operations[Category],Income_7[[#This Row],[Category]],operations[Month],$B$11)</f>
        <v>500</v>
      </c>
      <c r="J7" t="s">
        <v>19</v>
      </c>
      <c r="K7" s="6">
        <f ca="1">SUMIFS(operations[Amount],operations[Category],Expenses_7[[#This Row],[Category]],operations[Month],$B$11)</f>
        <v>0</v>
      </c>
    </row>
    <row r="8" spans="1:11" x14ac:dyDescent="0.25">
      <c r="A8" t="s">
        <v>13</v>
      </c>
      <c r="B8" t="s">
        <v>14</v>
      </c>
      <c r="C8" s="6" cm="1">
        <f t="array" aca="1" ref="C8" ca="1">INDIRECT("raport_" &amp; $B$11-1 &amp; "[@[Closing balance]]")</f>
        <v>390.5</v>
      </c>
      <c r="D8" s="6">
        <f ca="1">SUMIFS(operations[Amount],operations[Bank],Raport_7[[#This Row],[Bank]],operations[Product],Raport_7[[#This Row],[Product]],operations[Month],$B$11)</f>
        <v>0</v>
      </c>
      <c r="E8" s="6">
        <f ca="1">Raport_7[[#This Row],[Opening balance]]+Raport_7[[#This Row],[Operations]]</f>
        <v>390.5</v>
      </c>
      <c r="G8" t="s">
        <v>37</v>
      </c>
      <c r="H8" s="6">
        <f ca="1">SUBTOTAL(109,Income_7[Total])</f>
        <v>5920</v>
      </c>
      <c r="J8" t="s">
        <v>24</v>
      </c>
      <c r="K8" s="6">
        <f ca="1">SUMIFS(operations[Amount],operations[Category],Expenses_7[[#This Row],[Category]],operations[Month],$B$11)</f>
        <v>0</v>
      </c>
    </row>
    <row r="9" spans="1:11" x14ac:dyDescent="0.25">
      <c r="A9" s="4" t="s">
        <v>37</v>
      </c>
      <c r="B9" s="4"/>
      <c r="C9" s="6">
        <f ca="1">SUBTOTAL(109,Raport_7[Opening balance])</f>
        <v>10192.950000000001</v>
      </c>
      <c r="D9" s="6">
        <f ca="1">SUBTOTAL(109,Raport_7[Operations])</f>
        <v>2915</v>
      </c>
      <c r="E9" s="6">
        <f ca="1">SUBTOTAL(109,Raport_7[Closing balance])</f>
        <v>13107.95</v>
      </c>
      <c r="J9" t="s">
        <v>23</v>
      </c>
      <c r="K9" s="6">
        <f ca="1">SUMIFS(operations[Amount],operations[Category],Expenses_7[[#This Row],[Category]],operations[Month],$B$11)</f>
        <v>0</v>
      </c>
    </row>
    <row r="10" spans="1:11" x14ac:dyDescent="0.25">
      <c r="J10" t="s">
        <v>16</v>
      </c>
      <c r="K10" s="6">
        <f ca="1">SUMIFS(operations[Amount],operations[Category],Expenses_7[[#This Row],[Category]],operations[Month],$B$11)</f>
        <v>-90</v>
      </c>
    </row>
    <row r="11" spans="1:11" x14ac:dyDescent="0.25">
      <c r="A11" t="s">
        <v>6</v>
      </c>
      <c r="B11" s="5" t="str" cm="1">
        <f t="array" aca="1" ref="B11" ca="1">_xlfn.TEXTAFTER(CELL("filename",A1),"]")</f>
        <v>7</v>
      </c>
      <c r="J11" t="s">
        <v>37</v>
      </c>
      <c r="K11" s="6">
        <f ca="1">SUBTOTAL(109,Expenses_7[Total])</f>
        <v>-3005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6">
        <f ca="1">SUMIFS(operations[Amount],operations[Type],Balance_7[[#This Row],[Type]],operations[Month],$B$11)</f>
        <v>5920</v>
      </c>
    </row>
    <row r="15" spans="1:11" x14ac:dyDescent="0.25">
      <c r="A15" t="s">
        <v>38</v>
      </c>
      <c r="B15" s="6">
        <f ca="1">SUMIFS(operations[Amount],operations[Type],Balance_7[[#This Row],[Type]],operations[Month],$B$11)</f>
        <v>-3005</v>
      </c>
    </row>
    <row r="16" spans="1:11" x14ac:dyDescent="0.25">
      <c r="A16" t="s">
        <v>31</v>
      </c>
      <c r="B16" s="6">
        <f ca="1">SUMIFS(operations[Amount],operations[Type],Balance_7[[#This Row],[Type]],operations[Month],$B$11)</f>
        <v>0</v>
      </c>
    </row>
    <row r="17" spans="1:2" x14ac:dyDescent="0.25">
      <c r="A17" t="s">
        <v>37</v>
      </c>
      <c r="B17" s="6">
        <f ca="1">SUBTOTAL(109,Balance_7[Total])</f>
        <v>2915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C9F6B-E103-4C0F-B90B-72C485CF1DC0}">
  <sheetPr codeName="Sheet14"/>
  <dimension ref="A1:K17"/>
  <sheetViews>
    <sheetView workbookViewId="0">
      <selection sqref="A1:E17"/>
    </sheetView>
  </sheetViews>
  <sheetFormatPr defaultRowHeight="15" x14ac:dyDescent="0.25"/>
  <cols>
    <col min="1" max="1" width="10" bestFit="1" customWidth="1"/>
    <col min="2" max="2" width="16.28515625" bestFit="1" customWidth="1"/>
    <col min="3" max="3" width="16.28515625" customWidth="1"/>
    <col min="4" max="4" width="13.28515625" bestFit="1" customWidth="1"/>
    <col min="5" max="5" width="15.42578125" customWidth="1"/>
    <col min="7" max="7" width="12" bestFit="1" customWidth="1"/>
    <col min="8" max="8" width="11.140625" bestFit="1" customWidth="1"/>
    <col min="10" max="10" width="13.7109375" bestFit="1" customWidth="1"/>
    <col min="11" max="11" width="10.85546875" bestFit="1" customWidth="1"/>
  </cols>
  <sheetData>
    <row r="1" spans="1:11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11</v>
      </c>
      <c r="B2" t="s">
        <v>8</v>
      </c>
      <c r="C2" s="6" cm="1">
        <f t="array" aca="1" ref="C2" ca="1">INDIRECT("raport_" &amp; $B$11-1 &amp; "[@[Closing balance]]")</f>
        <v>368.5</v>
      </c>
      <c r="D2" s="6">
        <f ca="1">SUMIFS(operations[Amount],operations[Bank],Raport_8[[#This Row],[Bank]],operations[Product],Raport_8[[#This Row],[Product]],operations[Month],$B$11)</f>
        <v>200</v>
      </c>
      <c r="E2" s="6">
        <f ca="1">Raport_8[[#This Row],[Opening balance]]+Raport_8[[#This Row],[Operations]]</f>
        <v>568.5</v>
      </c>
      <c r="G2" s="1" t="s">
        <v>25</v>
      </c>
      <c r="H2" s="6">
        <f ca="1">SUMIFS(operations[Amount],operations[Category],Income_8[[#This Row],[Category]],operations[Month],$B$11)</f>
        <v>0</v>
      </c>
      <c r="J2" t="s">
        <v>18</v>
      </c>
      <c r="K2" s="6">
        <f ca="1">SUMIFS(operations[Amount],operations[Category],Expenses_8[[#This Row],[Category]],operations[Month],$B$11)</f>
        <v>-2000</v>
      </c>
    </row>
    <row r="3" spans="1:11" x14ac:dyDescent="0.25">
      <c r="A3" t="s">
        <v>11</v>
      </c>
      <c r="B3" t="s">
        <v>12</v>
      </c>
      <c r="C3" s="6" cm="1">
        <f t="array" aca="1" ref="C3" ca="1">INDIRECT("raport_" &amp; $B$11-1 &amp; "[@[Closing balance]]")</f>
        <v>1386</v>
      </c>
      <c r="D3" s="6">
        <f ca="1">SUMIFS(operations[Amount],operations[Bank],Raport_8[[#This Row],[Bank]],operations[Product],Raport_8[[#This Row],[Product]],operations[Month],$B$11)</f>
        <v>-300</v>
      </c>
      <c r="E3" s="6">
        <f ca="1">Raport_8[[#This Row],[Opening balance]]+Raport_8[[#This Row],[Operations]]</f>
        <v>1086</v>
      </c>
      <c r="G3" s="1" t="s">
        <v>28</v>
      </c>
      <c r="H3" s="6">
        <f ca="1">SUMIFS(operations[Amount],operations[Category],Income_8[[#This Row],[Category]],operations[Month],$B$11)</f>
        <v>0</v>
      </c>
      <c r="J3" t="s">
        <v>22</v>
      </c>
      <c r="K3" s="6">
        <f ca="1">SUMIFS(operations[Amount],operations[Category],Expenses_8[[#This Row],[Category]],operations[Month],$B$11)</f>
        <v>-300</v>
      </c>
    </row>
    <row r="4" spans="1:11" x14ac:dyDescent="0.25">
      <c r="A4" t="s">
        <v>7</v>
      </c>
      <c r="B4" t="s">
        <v>8</v>
      </c>
      <c r="C4" s="6" cm="1">
        <f t="array" aca="1" ref="C4" ca="1">INDIRECT("raport_" &amp; $B$11-1 &amp; "[@[Closing balance]]")</f>
        <v>9882.44</v>
      </c>
      <c r="D4" s="6">
        <f ca="1">SUMIFS(operations[Amount],operations[Bank],Raport_8[[#This Row],[Bank]],operations[Product],Raport_8[[#This Row],[Product]],operations[Month],$B$11)</f>
        <v>2495</v>
      </c>
      <c r="E4" s="6">
        <f ca="1">Raport_8[[#This Row],[Opening balance]]+Raport_8[[#This Row],[Operations]]</f>
        <v>12377.44</v>
      </c>
      <c r="G4" s="1" t="s">
        <v>29</v>
      </c>
      <c r="H4" s="6">
        <f ca="1">SUMIFS(operations[Amount],operations[Category],Income_8[[#This Row],[Category]],operations[Month],$B$11)</f>
        <v>400</v>
      </c>
      <c r="J4" t="s">
        <v>20</v>
      </c>
      <c r="K4" s="6">
        <f ca="1">SUMIFS(operations[Amount],operations[Category],Expenses_8[[#This Row],[Category]],operations[Month],$B$11)</f>
        <v>-250</v>
      </c>
    </row>
    <row r="5" spans="1:11" x14ac:dyDescent="0.25">
      <c r="A5" t="s">
        <v>7</v>
      </c>
      <c r="B5" t="s">
        <v>9</v>
      </c>
      <c r="C5" s="6" cm="1">
        <f t="array" aca="1" ref="C5" ca="1">INDIRECT("raport_" &amp; $B$11-1 &amp; "[@[Closing balance]]")</f>
        <v>-135</v>
      </c>
      <c r="D5" s="6">
        <f ca="1">SUMIFS(operations[Amount],operations[Bank],Raport_8[[#This Row],[Bank]],operations[Product],Raport_8[[#This Row],[Product]],operations[Month],$B$11)</f>
        <v>33</v>
      </c>
      <c r="E5" s="6">
        <f ca="1">Raport_8[[#This Row],[Opening balance]]+Raport_8[[#This Row],[Operations]]</f>
        <v>-102</v>
      </c>
      <c r="G5" s="1" t="s">
        <v>30</v>
      </c>
      <c r="H5" s="6">
        <f ca="1">SUMIFS(operations[Amount],operations[Category],Income_8[[#This Row],[Category]],operations[Month],$B$11)</f>
        <v>0</v>
      </c>
      <c r="J5" t="s">
        <v>17</v>
      </c>
      <c r="K5" s="6">
        <f ca="1">SUMIFS(operations[Amount],operations[Category],Expenses_8[[#This Row],[Category]],operations[Month],$B$11)</f>
        <v>-749.5</v>
      </c>
    </row>
    <row r="6" spans="1:11" x14ac:dyDescent="0.25">
      <c r="A6" t="s">
        <v>7</v>
      </c>
      <c r="B6" t="s">
        <v>10</v>
      </c>
      <c r="C6" s="6" cm="1">
        <f t="array" aca="1" ref="C6" ca="1">INDIRECT("raport_" &amp; $B$11-1 &amp; "[@[Closing balance]]")</f>
        <v>1020</v>
      </c>
      <c r="D6" s="6">
        <f ca="1">SUMIFS(operations[Amount],operations[Bank],Raport_8[[#This Row],[Bank]],operations[Product],Raport_8[[#This Row],[Product]],operations[Month],$B$11)</f>
        <v>-1020</v>
      </c>
      <c r="E6" s="6">
        <f ca="1">Raport_8[[#This Row],[Opening balance]]+Raport_8[[#This Row],[Operations]]</f>
        <v>0</v>
      </c>
      <c r="G6" s="1" t="s">
        <v>26</v>
      </c>
      <c r="H6" s="6">
        <f ca="1">SUMIFS(operations[Amount],operations[Category],Income_8[[#This Row],[Category]],operations[Month],$B$11)</f>
        <v>4500</v>
      </c>
      <c r="J6" t="s">
        <v>21</v>
      </c>
      <c r="K6" s="6">
        <f ca="1">SUMIFS(operations[Amount],operations[Category],Expenses_8[[#This Row],[Category]],operations[Month],$B$11)</f>
        <v>-400</v>
      </c>
    </row>
    <row r="7" spans="1:11" x14ac:dyDescent="0.25">
      <c r="A7" t="s">
        <v>13</v>
      </c>
      <c r="B7" t="s">
        <v>15</v>
      </c>
      <c r="C7" s="6" cm="1">
        <f t="array" aca="1" ref="C7" ca="1">INDIRECT("raport_" &amp; $B$11-1 &amp; "[@[Closing balance]]")</f>
        <v>195.51</v>
      </c>
      <c r="D7" s="6">
        <f ca="1">SUMIFS(operations[Amount],operations[Bank],Raport_8[[#This Row],[Bank]],operations[Product],Raport_8[[#This Row],[Product]],operations[Month],$B$11)</f>
        <v>0</v>
      </c>
      <c r="E7" s="6">
        <f ca="1">Raport_8[[#This Row],[Opening balance]]+Raport_8[[#This Row],[Operations]]</f>
        <v>195.51</v>
      </c>
      <c r="G7" s="1" t="s">
        <v>27</v>
      </c>
      <c r="H7" s="6">
        <f ca="1">SUMIFS(operations[Amount],operations[Category],Income_8[[#This Row],[Category]],operations[Month],$B$11)</f>
        <v>500</v>
      </c>
      <c r="J7" t="s">
        <v>19</v>
      </c>
      <c r="K7" s="6">
        <f ca="1">SUMIFS(operations[Amount],operations[Category],Expenses_8[[#This Row],[Category]],operations[Month],$B$11)</f>
        <v>0</v>
      </c>
    </row>
    <row r="8" spans="1:11" x14ac:dyDescent="0.25">
      <c r="A8" t="s">
        <v>13</v>
      </c>
      <c r="B8" t="s">
        <v>14</v>
      </c>
      <c r="C8" s="6" cm="1">
        <f t="array" aca="1" ref="C8" ca="1">INDIRECT("raport_" &amp; $B$11-1 &amp; "[@[Closing balance]]")</f>
        <v>390.5</v>
      </c>
      <c r="D8" s="6">
        <f ca="1">SUMIFS(operations[Amount],operations[Bank],Raport_8[[#This Row],[Bank]],operations[Product],Raport_8[[#This Row],[Product]],operations[Month],$B$11)</f>
        <v>2.5</v>
      </c>
      <c r="E8" s="6">
        <f ca="1">Raport_8[[#This Row],[Opening balance]]+Raport_8[[#This Row],[Operations]]</f>
        <v>393</v>
      </c>
      <c r="G8" t="s">
        <v>37</v>
      </c>
      <c r="H8" s="6">
        <f ca="1">SUBTOTAL(109,Income_8[Total])</f>
        <v>5400</v>
      </c>
      <c r="J8" t="s">
        <v>24</v>
      </c>
      <c r="K8" s="6">
        <f ca="1">SUMIFS(operations[Amount],operations[Category],Expenses_8[[#This Row],[Category]],operations[Month],$B$11)</f>
        <v>0</v>
      </c>
    </row>
    <row r="9" spans="1:11" x14ac:dyDescent="0.25">
      <c r="A9" s="4" t="s">
        <v>37</v>
      </c>
      <c r="B9" s="4"/>
      <c r="C9" s="6">
        <f ca="1">SUBTOTAL(109,Raport_8[Opening balance])</f>
        <v>13107.95</v>
      </c>
      <c r="D9" s="6">
        <f ca="1">SUBTOTAL(109,Raport_8[Operations])</f>
        <v>1410.5</v>
      </c>
      <c r="E9" s="6">
        <f ca="1">SUBTOTAL(109,Raport_8[Closing balance])</f>
        <v>14518.45</v>
      </c>
      <c r="J9" t="s">
        <v>23</v>
      </c>
      <c r="K9" s="6">
        <f ca="1">SUMIFS(operations[Amount],operations[Category],Expenses_8[[#This Row],[Category]],operations[Month],$B$11)</f>
        <v>0</v>
      </c>
    </row>
    <row r="10" spans="1:11" x14ac:dyDescent="0.25">
      <c r="J10" t="s">
        <v>16</v>
      </c>
      <c r="K10" s="6">
        <f ca="1">SUMIFS(operations[Amount],operations[Category],Expenses_8[[#This Row],[Category]],operations[Month],$B$11)</f>
        <v>-290</v>
      </c>
    </row>
    <row r="11" spans="1:11" x14ac:dyDescent="0.25">
      <c r="A11" t="s">
        <v>6</v>
      </c>
      <c r="B11" s="5" t="str" cm="1">
        <f t="array" aca="1" ref="B11" ca="1">_xlfn.TEXTAFTER(CELL("filename",A1),"]")</f>
        <v>8</v>
      </c>
      <c r="J11" t="s">
        <v>37</v>
      </c>
      <c r="K11" s="6">
        <f ca="1">SUBTOTAL(109,Expenses_8[Total])</f>
        <v>-3989.5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6">
        <f ca="1">SUMIFS(operations[Amount],operations[Type],Balance_8[[#This Row],[Type]],operations[Month],$B$11)</f>
        <v>5400</v>
      </c>
    </row>
    <row r="15" spans="1:11" x14ac:dyDescent="0.25">
      <c r="A15" t="s">
        <v>38</v>
      </c>
      <c r="B15" s="6">
        <f ca="1">SUMIFS(operations[Amount],operations[Type],Balance_8[[#This Row],[Type]],operations[Month],$B$11)</f>
        <v>-3989.5</v>
      </c>
    </row>
    <row r="16" spans="1:11" x14ac:dyDescent="0.25">
      <c r="A16" t="s">
        <v>31</v>
      </c>
      <c r="B16" s="6">
        <f ca="1">SUMIFS(operations[Amount],operations[Type],Balance_8[[#This Row],[Type]],operations[Month],$B$11)</f>
        <v>0</v>
      </c>
    </row>
    <row r="17" spans="1:2" x14ac:dyDescent="0.25">
      <c r="A17" t="s">
        <v>37</v>
      </c>
      <c r="B17" s="6">
        <f ca="1">SUBTOTAL(109,Balance_8[Total])</f>
        <v>1410.5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8D3A3-6F94-4BCE-92EA-B2785133A447}">
  <sheetPr codeName="Sheet15"/>
  <dimension ref="A1:K17"/>
  <sheetViews>
    <sheetView workbookViewId="0">
      <selection activeCell="A17" sqref="A1:K17"/>
    </sheetView>
  </sheetViews>
  <sheetFormatPr defaultRowHeight="15" x14ac:dyDescent="0.25"/>
  <cols>
    <col min="1" max="1" width="10" bestFit="1" customWidth="1"/>
    <col min="2" max="2" width="16.28515625" bestFit="1" customWidth="1"/>
    <col min="3" max="3" width="16.28515625" customWidth="1"/>
    <col min="4" max="4" width="13.28515625" bestFit="1" customWidth="1"/>
    <col min="5" max="5" width="15.42578125" customWidth="1"/>
    <col min="7" max="7" width="12" bestFit="1" customWidth="1"/>
    <col min="8" max="8" width="11.140625" bestFit="1" customWidth="1"/>
    <col min="10" max="10" width="13.7109375" bestFit="1" customWidth="1"/>
    <col min="11" max="11" width="10.85546875" bestFit="1" customWidth="1"/>
  </cols>
  <sheetData>
    <row r="1" spans="1:11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11</v>
      </c>
      <c r="B2" t="s">
        <v>8</v>
      </c>
      <c r="C2" s="6" cm="1">
        <f t="array" aca="1" ref="C2" ca="1">INDIRECT("raport_" &amp; $B$11-1 &amp; "[@[Closing balance]]")</f>
        <v>568.5</v>
      </c>
      <c r="D2" s="6">
        <f ca="1">SUMIFS(operations[Amount],operations[Bank],Raport_9[[#This Row],[Bank]],operations[Product],Raport_9[[#This Row],[Product]],operations[Month],$B$11)</f>
        <v>-20</v>
      </c>
      <c r="E2" s="6">
        <f ca="1">Raport_9[[#This Row],[Opening balance]]+Raport_9[[#This Row],[Operations]]</f>
        <v>548.5</v>
      </c>
      <c r="G2" s="1" t="s">
        <v>25</v>
      </c>
      <c r="H2" s="6">
        <f ca="1">SUMIFS(operations[Amount],operations[Category],Income_9[[#This Row],[Category]],operations[Month],$B$11)</f>
        <v>0</v>
      </c>
      <c r="J2" t="s">
        <v>18</v>
      </c>
      <c r="K2" s="6">
        <f ca="1">SUMIFS(operations[Amount],operations[Category],Expenses_9[[#This Row],[Category]],operations[Month],$B$11)</f>
        <v>-2000</v>
      </c>
    </row>
    <row r="3" spans="1:11" x14ac:dyDescent="0.25">
      <c r="A3" t="s">
        <v>11</v>
      </c>
      <c r="B3" t="s">
        <v>12</v>
      </c>
      <c r="C3" s="6" cm="1">
        <f t="array" aca="1" ref="C3" ca="1">INDIRECT("raport_" &amp; $B$11-1 &amp; "[@[Closing balance]]")</f>
        <v>1086</v>
      </c>
      <c r="D3" s="6">
        <f ca="1">SUMIFS(operations[Amount],operations[Bank],Raport_9[[#This Row],[Bank]],operations[Product],Raport_9[[#This Row],[Product]],operations[Month],$B$11)</f>
        <v>0</v>
      </c>
      <c r="E3" s="6">
        <f ca="1">Raport_9[[#This Row],[Opening balance]]+Raport_9[[#This Row],[Operations]]</f>
        <v>1086</v>
      </c>
      <c r="G3" s="1" t="s">
        <v>28</v>
      </c>
      <c r="H3" s="6">
        <f ca="1">SUMIFS(operations[Amount],operations[Category],Income_9[[#This Row],[Category]],operations[Month],$B$11)</f>
        <v>0</v>
      </c>
      <c r="J3" t="s">
        <v>22</v>
      </c>
      <c r="K3" s="6">
        <f ca="1">SUMIFS(operations[Amount],operations[Category],Expenses_9[[#This Row],[Category]],operations[Month],$B$11)</f>
        <v>0</v>
      </c>
    </row>
    <row r="4" spans="1:11" x14ac:dyDescent="0.25">
      <c r="A4" t="s">
        <v>7</v>
      </c>
      <c r="B4" t="s">
        <v>8</v>
      </c>
      <c r="C4" s="6" cm="1">
        <f t="array" aca="1" ref="C4" ca="1">INDIRECT("raport_" &amp; $B$11-1 &amp; "[@[Closing balance]]")</f>
        <v>12377.44</v>
      </c>
      <c r="D4" s="6">
        <f ca="1">SUMIFS(operations[Amount],operations[Bank],Raport_9[[#This Row],[Bank]],operations[Product],Raport_9[[#This Row],[Product]],operations[Month],$B$11)</f>
        <v>1689.5</v>
      </c>
      <c r="E4" s="6">
        <f ca="1">Raport_9[[#This Row],[Opening balance]]+Raport_9[[#This Row],[Operations]]</f>
        <v>14066.94</v>
      </c>
      <c r="G4" s="1" t="s">
        <v>29</v>
      </c>
      <c r="H4" s="6">
        <f ca="1">SUMIFS(operations[Amount],operations[Category],Income_9[[#This Row],[Category]],operations[Month],$B$11)</f>
        <v>0</v>
      </c>
      <c r="J4" t="s">
        <v>20</v>
      </c>
      <c r="K4" s="6">
        <f ca="1">SUMIFS(operations[Amount],operations[Category],Expenses_9[[#This Row],[Category]],operations[Month],$B$11)</f>
        <v>-20</v>
      </c>
    </row>
    <row r="5" spans="1:11" x14ac:dyDescent="0.25">
      <c r="A5" t="s">
        <v>7</v>
      </c>
      <c r="B5" t="s">
        <v>9</v>
      </c>
      <c r="C5" s="6" cm="1">
        <f t="array" aca="1" ref="C5" ca="1">INDIRECT("raport_" &amp; $B$11-1 &amp; "[@[Closing balance]]")</f>
        <v>-102</v>
      </c>
      <c r="D5" s="6">
        <f ca="1">SUMIFS(operations[Amount],operations[Bank],Raport_9[[#This Row],[Bank]],operations[Product],Raport_9[[#This Row],[Product]],operations[Month],$B$11)</f>
        <v>82</v>
      </c>
      <c r="E5" s="6">
        <f ca="1">Raport_9[[#This Row],[Opening balance]]+Raport_9[[#This Row],[Operations]]</f>
        <v>-20</v>
      </c>
      <c r="G5" s="1" t="s">
        <v>30</v>
      </c>
      <c r="H5" s="6">
        <f ca="1">SUMIFS(operations[Amount],operations[Category],Income_9[[#This Row],[Category]],operations[Month],$B$11)</f>
        <v>0</v>
      </c>
      <c r="J5" t="s">
        <v>17</v>
      </c>
      <c r="K5" s="6">
        <f ca="1">SUMIFS(operations[Amount],operations[Category],Expenses_9[[#This Row],[Category]],operations[Month],$B$11)</f>
        <v>-538.5</v>
      </c>
    </row>
    <row r="6" spans="1:11" x14ac:dyDescent="0.25">
      <c r="A6" t="s">
        <v>7</v>
      </c>
      <c r="B6" t="s">
        <v>10</v>
      </c>
      <c r="C6" s="6" cm="1">
        <f t="array" aca="1" ref="C6" ca="1">INDIRECT("raport_" &amp; $B$11-1 &amp; "[@[Closing balance]]")</f>
        <v>0</v>
      </c>
      <c r="D6" s="6">
        <f ca="1">SUMIFS(operations[Amount],operations[Bank],Raport_9[[#This Row],[Bank]],operations[Product],Raport_9[[#This Row],[Product]],operations[Month],$B$11)</f>
        <v>0</v>
      </c>
      <c r="E6" s="6">
        <f ca="1">Raport_9[[#This Row],[Opening balance]]+Raport_9[[#This Row],[Operations]]</f>
        <v>0</v>
      </c>
      <c r="G6" s="1" t="s">
        <v>26</v>
      </c>
      <c r="H6" s="6">
        <f ca="1">SUMIFS(operations[Amount],operations[Category],Income_9[[#This Row],[Category]],operations[Month],$B$11)</f>
        <v>4500</v>
      </c>
      <c r="J6" t="s">
        <v>21</v>
      </c>
      <c r="K6" s="6">
        <f ca="1">SUMIFS(operations[Amount],operations[Category],Expenses_9[[#This Row],[Category]],operations[Month],$B$11)</f>
        <v>0</v>
      </c>
    </row>
    <row r="7" spans="1:11" x14ac:dyDescent="0.25">
      <c r="A7" t="s">
        <v>13</v>
      </c>
      <c r="B7" t="s">
        <v>15</v>
      </c>
      <c r="C7" s="6" cm="1">
        <f t="array" aca="1" ref="C7" ca="1">INDIRECT("raport_" &amp; $B$11-1 &amp; "[@[Closing balance]]")</f>
        <v>195.51</v>
      </c>
      <c r="D7" s="6">
        <f ca="1">SUMIFS(operations[Amount],operations[Bank],Raport_9[[#This Row],[Bank]],operations[Product],Raport_9[[#This Row],[Product]],operations[Month],$B$11)</f>
        <v>0</v>
      </c>
      <c r="E7" s="6">
        <f ca="1">Raport_9[[#This Row],[Opening balance]]+Raport_9[[#This Row],[Operations]]</f>
        <v>195.51</v>
      </c>
      <c r="G7" s="1" t="s">
        <v>27</v>
      </c>
      <c r="H7" s="6">
        <f ca="1">SUMIFS(operations[Amount],operations[Category],Income_9[[#This Row],[Category]],operations[Month],$B$11)</f>
        <v>0</v>
      </c>
      <c r="J7" t="s">
        <v>19</v>
      </c>
      <c r="K7" s="6">
        <f ca="1">SUMIFS(operations[Amount],operations[Category],Expenses_9[[#This Row],[Category]],operations[Month],$B$11)</f>
        <v>-40</v>
      </c>
    </row>
    <row r="8" spans="1:11" x14ac:dyDescent="0.25">
      <c r="A8" t="s">
        <v>13</v>
      </c>
      <c r="B8" t="s">
        <v>14</v>
      </c>
      <c r="C8" s="6" cm="1">
        <f t="array" aca="1" ref="C8" ca="1">INDIRECT("raport_" &amp; $B$11-1 &amp; "[@[Closing balance]]")</f>
        <v>393</v>
      </c>
      <c r="D8" s="6">
        <f ca="1">SUMIFS(operations[Amount],operations[Bank],Raport_9[[#This Row],[Bank]],operations[Product],Raport_9[[#This Row],[Product]],operations[Month],$B$11)</f>
        <v>0</v>
      </c>
      <c r="E8" s="6">
        <f ca="1">Raport_9[[#This Row],[Opening balance]]+Raport_9[[#This Row],[Operations]]</f>
        <v>393</v>
      </c>
      <c r="G8" t="s">
        <v>37</v>
      </c>
      <c r="H8" s="6">
        <f ca="1">SUBTOTAL(109,Income_9[Total])</f>
        <v>4500</v>
      </c>
      <c r="J8" t="s">
        <v>24</v>
      </c>
      <c r="K8" s="6">
        <f ca="1">SUMIFS(operations[Amount],operations[Category],Expenses_9[[#This Row],[Category]],operations[Month],$B$11)</f>
        <v>0</v>
      </c>
    </row>
    <row r="9" spans="1:11" x14ac:dyDescent="0.25">
      <c r="A9" s="4" t="s">
        <v>37</v>
      </c>
      <c r="B9" s="4"/>
      <c r="C9" s="6">
        <f ca="1">SUBTOTAL(109,Raport_9[Opening balance])</f>
        <v>14518.45</v>
      </c>
      <c r="D9" s="6">
        <f ca="1">SUBTOTAL(109,Raport_9[Operations])</f>
        <v>1751.5</v>
      </c>
      <c r="E9" s="6">
        <f ca="1">SUBTOTAL(109,Raport_9[Closing balance])</f>
        <v>16269.95</v>
      </c>
      <c r="J9" t="s">
        <v>23</v>
      </c>
      <c r="K9" s="6">
        <f ca="1">SUMIFS(operations[Amount],operations[Category],Expenses_9[[#This Row],[Category]],operations[Month],$B$11)</f>
        <v>0</v>
      </c>
    </row>
    <row r="10" spans="1:11" x14ac:dyDescent="0.25">
      <c r="J10" t="s">
        <v>16</v>
      </c>
      <c r="K10" s="6">
        <f ca="1">SUMIFS(operations[Amount],operations[Category],Expenses_9[[#This Row],[Category]],operations[Month],$B$11)</f>
        <v>-150</v>
      </c>
    </row>
    <row r="11" spans="1:11" x14ac:dyDescent="0.25">
      <c r="A11" t="s">
        <v>6</v>
      </c>
      <c r="B11" s="5" t="str" cm="1">
        <f t="array" aca="1" ref="B11" ca="1">_xlfn.TEXTAFTER(CELL("filename",A1),"]")</f>
        <v>9</v>
      </c>
      <c r="J11" t="s">
        <v>37</v>
      </c>
      <c r="K11" s="6">
        <f ca="1">SUBTOTAL(109,Expenses_9[Total])</f>
        <v>-2748.5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6">
        <f ca="1">SUMIFS(operations[Amount],operations[Type],Balance_9[[#This Row],[Type]],operations[Month],$B$11)</f>
        <v>4500</v>
      </c>
    </row>
    <row r="15" spans="1:11" x14ac:dyDescent="0.25">
      <c r="A15" t="s">
        <v>38</v>
      </c>
      <c r="B15" s="6">
        <f ca="1">SUMIFS(operations[Amount],operations[Type],Balance_9[[#This Row],[Type]],operations[Month],$B$11)</f>
        <v>-2748.5</v>
      </c>
    </row>
    <row r="16" spans="1:11" x14ac:dyDescent="0.25">
      <c r="A16" t="s">
        <v>31</v>
      </c>
      <c r="B16" s="6">
        <f ca="1">SUMIFS(operations[Amount],operations[Type],Balance_9[[#This Row],[Type]],operations[Month],$B$11)</f>
        <v>0</v>
      </c>
    </row>
    <row r="17" spans="1:2" x14ac:dyDescent="0.25">
      <c r="A17" t="s">
        <v>37</v>
      </c>
      <c r="B17" s="6">
        <f ca="1">SUBTOTAL(109,Balance_9[Total])</f>
        <v>1751.5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F134B-ED50-4C6C-85C8-F7A9DCF8B30A}">
  <sheetPr codeName="Sheet16"/>
  <dimension ref="A1:K17"/>
  <sheetViews>
    <sheetView workbookViewId="0">
      <selection activeCell="A17" sqref="A1:K17"/>
    </sheetView>
  </sheetViews>
  <sheetFormatPr defaultRowHeight="15" x14ac:dyDescent="0.25"/>
  <cols>
    <col min="1" max="1" width="10" bestFit="1" customWidth="1"/>
    <col min="2" max="2" width="16.28515625" bestFit="1" customWidth="1"/>
    <col min="3" max="3" width="16.28515625" customWidth="1"/>
    <col min="4" max="4" width="13.28515625" bestFit="1" customWidth="1"/>
    <col min="5" max="5" width="15.42578125" customWidth="1"/>
    <col min="7" max="7" width="12" bestFit="1" customWidth="1"/>
    <col min="8" max="8" width="11.140625" bestFit="1" customWidth="1"/>
    <col min="10" max="10" width="13.7109375" bestFit="1" customWidth="1"/>
    <col min="11" max="11" width="10.85546875" bestFit="1" customWidth="1"/>
  </cols>
  <sheetData>
    <row r="1" spans="1:11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11</v>
      </c>
      <c r="B2" t="s">
        <v>8</v>
      </c>
      <c r="C2" s="6" cm="1">
        <f t="array" aca="1" ref="C2" ca="1">INDIRECT("raport_" &amp; $B$11-1 &amp; "[@[Closing balance]]")</f>
        <v>548.5</v>
      </c>
      <c r="D2" s="6">
        <f ca="1">SUMIFS(operations[Amount],operations[Bank],Raport_10[[#This Row],[Bank]],operations[Product],Raport_10[[#This Row],[Product]],operations[Month],$B$11)</f>
        <v>0</v>
      </c>
      <c r="E2" s="6">
        <f ca="1">Raport_10[[#This Row],[Opening balance]]+Raport_10[[#This Row],[Operations]]</f>
        <v>548.5</v>
      </c>
      <c r="G2" s="1" t="s">
        <v>25</v>
      </c>
      <c r="H2" s="6">
        <f ca="1">SUMIFS(operations[Amount],operations[Category],Income_10[[#This Row],[Category]],operations[Month],$B$11)</f>
        <v>0</v>
      </c>
      <c r="J2" t="s">
        <v>18</v>
      </c>
      <c r="K2" s="6">
        <f ca="1">SUMIFS(operations[Amount],operations[Category],Expenses_10[[#This Row],[Category]],operations[Month],$B$11)</f>
        <v>-2000</v>
      </c>
    </row>
    <row r="3" spans="1:11" x14ac:dyDescent="0.25">
      <c r="A3" t="s">
        <v>11</v>
      </c>
      <c r="B3" t="s">
        <v>12</v>
      </c>
      <c r="C3" s="6" cm="1">
        <f t="array" aca="1" ref="C3" ca="1">INDIRECT("raport_" &amp; $B$11-1 &amp; "[@[Closing balance]]")</f>
        <v>1086</v>
      </c>
      <c r="D3" s="6">
        <f ca="1">SUMIFS(operations[Amount],operations[Bank],Raport_10[[#This Row],[Bank]],operations[Product],Raport_10[[#This Row],[Product]],operations[Month],$B$11)</f>
        <v>0</v>
      </c>
      <c r="E3" s="6">
        <f ca="1">Raport_10[[#This Row],[Opening balance]]+Raport_10[[#This Row],[Operations]]</f>
        <v>1086</v>
      </c>
      <c r="G3" s="1" t="s">
        <v>28</v>
      </c>
      <c r="H3" s="6">
        <f ca="1">SUMIFS(operations[Amount],operations[Category],Income_10[[#This Row],[Category]],operations[Month],$B$11)</f>
        <v>0</v>
      </c>
      <c r="J3" t="s">
        <v>22</v>
      </c>
      <c r="K3" s="6">
        <f ca="1">SUMIFS(operations[Amount],operations[Category],Expenses_10[[#This Row],[Category]],operations[Month],$B$11)</f>
        <v>0</v>
      </c>
    </row>
    <row r="4" spans="1:11" x14ac:dyDescent="0.25">
      <c r="A4" t="s">
        <v>7</v>
      </c>
      <c r="B4" t="s">
        <v>8</v>
      </c>
      <c r="C4" s="6" cm="1">
        <f t="array" aca="1" ref="C4" ca="1">INDIRECT("raport_" &amp; $B$11-1 &amp; "[@[Closing balance]]")</f>
        <v>14066.94</v>
      </c>
      <c r="D4" s="6">
        <f ca="1">SUMIFS(operations[Amount],operations[Bank],Raport_10[[#This Row],[Bank]],operations[Product],Raport_10[[#This Row],[Product]],operations[Month],$B$11)</f>
        <v>1690</v>
      </c>
      <c r="E4" s="6">
        <f ca="1">Raport_10[[#This Row],[Opening balance]]+Raport_10[[#This Row],[Operations]]</f>
        <v>15756.94</v>
      </c>
      <c r="G4" s="1" t="s">
        <v>29</v>
      </c>
      <c r="H4" s="6">
        <f ca="1">SUMIFS(operations[Amount],operations[Category],Income_10[[#This Row],[Category]],operations[Month],$B$11)</f>
        <v>0</v>
      </c>
      <c r="J4" t="s">
        <v>20</v>
      </c>
      <c r="K4" s="6">
        <f ca="1">SUMIFS(operations[Amount],operations[Category],Expenses_10[[#This Row],[Category]],operations[Month],$B$11)</f>
        <v>-40</v>
      </c>
    </row>
    <row r="5" spans="1:11" x14ac:dyDescent="0.25">
      <c r="A5" t="s">
        <v>7</v>
      </c>
      <c r="B5" t="s">
        <v>9</v>
      </c>
      <c r="C5" s="6" cm="1">
        <f t="array" aca="1" ref="C5" ca="1">INDIRECT("raport_" &amp; $B$11-1 &amp; "[@[Closing balance]]")</f>
        <v>-20</v>
      </c>
      <c r="D5" s="6">
        <f ca="1">SUMIFS(operations[Amount],operations[Bank],Raport_10[[#This Row],[Bank]],operations[Product],Raport_10[[#This Row],[Product]],operations[Month],$B$11)</f>
        <v>-20</v>
      </c>
      <c r="E5" s="6">
        <f ca="1">Raport_10[[#This Row],[Opening balance]]+Raport_10[[#This Row],[Operations]]</f>
        <v>-40</v>
      </c>
      <c r="G5" s="1" t="s">
        <v>30</v>
      </c>
      <c r="H5" s="6">
        <f ca="1">SUMIFS(operations[Amount],operations[Category],Income_10[[#This Row],[Category]],operations[Month],$B$11)</f>
        <v>0</v>
      </c>
      <c r="J5" t="s">
        <v>17</v>
      </c>
      <c r="K5" s="6">
        <f ca="1">SUMIFS(operations[Amount],operations[Category],Expenses_10[[#This Row],[Category]],operations[Month],$B$11)</f>
        <v>-600</v>
      </c>
    </row>
    <row r="6" spans="1:11" x14ac:dyDescent="0.25">
      <c r="A6" t="s">
        <v>7</v>
      </c>
      <c r="B6" t="s">
        <v>10</v>
      </c>
      <c r="C6" s="6" cm="1">
        <f t="array" aca="1" ref="C6" ca="1">INDIRECT("raport_" &amp; $B$11-1 &amp; "[@[Closing balance]]")</f>
        <v>0</v>
      </c>
      <c r="D6" s="6">
        <f ca="1">SUMIFS(operations[Amount],operations[Bank],Raport_10[[#This Row],[Bank]],operations[Product],Raport_10[[#This Row],[Product]],operations[Month],$B$11)</f>
        <v>0</v>
      </c>
      <c r="E6" s="6">
        <f ca="1">Raport_10[[#This Row],[Opening balance]]+Raport_10[[#This Row],[Operations]]</f>
        <v>0</v>
      </c>
      <c r="G6" s="1" t="s">
        <v>26</v>
      </c>
      <c r="H6" s="6">
        <f ca="1">SUMIFS(operations[Amount],operations[Category],Income_10[[#This Row],[Category]],operations[Month],$B$11)</f>
        <v>4500</v>
      </c>
      <c r="J6" t="s">
        <v>21</v>
      </c>
      <c r="K6" s="6">
        <f ca="1">SUMIFS(operations[Amount],operations[Category],Expenses_10[[#This Row],[Category]],operations[Month],$B$11)</f>
        <v>0</v>
      </c>
    </row>
    <row r="7" spans="1:11" x14ac:dyDescent="0.25">
      <c r="A7" t="s">
        <v>13</v>
      </c>
      <c r="B7" t="s">
        <v>15</v>
      </c>
      <c r="C7" s="6" cm="1">
        <f t="array" aca="1" ref="C7" ca="1">INDIRECT("raport_" &amp; $B$11-1 &amp; "[@[Closing balance]]")</f>
        <v>195.51</v>
      </c>
      <c r="D7" s="6">
        <f ca="1">SUMIFS(operations[Amount],operations[Bank],Raport_10[[#This Row],[Bank]],operations[Product],Raport_10[[#This Row],[Product]],operations[Month],$B$11)</f>
        <v>0</v>
      </c>
      <c r="E7" s="6">
        <f ca="1">Raport_10[[#This Row],[Opening balance]]+Raport_10[[#This Row],[Operations]]</f>
        <v>195.51</v>
      </c>
      <c r="G7" s="1" t="s">
        <v>27</v>
      </c>
      <c r="H7" s="6">
        <f ca="1">SUMIFS(operations[Amount],operations[Category],Income_10[[#This Row],[Category]],operations[Month],$B$11)</f>
        <v>0</v>
      </c>
      <c r="J7" t="s">
        <v>19</v>
      </c>
      <c r="K7" s="6">
        <f ca="1">SUMIFS(operations[Amount],operations[Category],Expenses_10[[#This Row],[Category]],operations[Month],$B$11)</f>
        <v>-40</v>
      </c>
    </row>
    <row r="8" spans="1:11" x14ac:dyDescent="0.25">
      <c r="A8" t="s">
        <v>13</v>
      </c>
      <c r="B8" t="s">
        <v>14</v>
      </c>
      <c r="C8" s="6" cm="1">
        <f t="array" aca="1" ref="C8" ca="1">INDIRECT("raport_" &amp; $B$11-1 &amp; "[@[Closing balance]]")</f>
        <v>393</v>
      </c>
      <c r="D8" s="6">
        <f ca="1">SUMIFS(operations[Amount],operations[Bank],Raport_10[[#This Row],[Bank]],operations[Product],Raport_10[[#This Row],[Product]],operations[Month],$B$11)</f>
        <v>0</v>
      </c>
      <c r="E8" s="6">
        <f ca="1">Raport_10[[#This Row],[Opening balance]]+Raport_10[[#This Row],[Operations]]</f>
        <v>393</v>
      </c>
      <c r="G8" t="s">
        <v>37</v>
      </c>
      <c r="H8" s="6">
        <f ca="1">SUBTOTAL(109,Income_10[Total])</f>
        <v>4500</v>
      </c>
      <c r="J8" t="s">
        <v>24</v>
      </c>
      <c r="K8" s="6">
        <f ca="1">SUMIFS(operations[Amount],operations[Category],Expenses_10[[#This Row],[Category]],operations[Month],$B$11)</f>
        <v>0</v>
      </c>
    </row>
    <row r="9" spans="1:11" x14ac:dyDescent="0.25">
      <c r="A9" s="4" t="s">
        <v>37</v>
      </c>
      <c r="B9" s="4"/>
      <c r="C9" s="6">
        <f ca="1">SUBTOTAL(109,Raport_10[Opening balance])</f>
        <v>16269.95</v>
      </c>
      <c r="D9" s="6">
        <f ca="1">SUBTOTAL(109,Raport_10[Operations])</f>
        <v>1670</v>
      </c>
      <c r="E9" s="6">
        <f ca="1">SUBTOTAL(109,Raport_10[Closing balance])</f>
        <v>17939.95</v>
      </c>
      <c r="J9" t="s">
        <v>23</v>
      </c>
      <c r="K9" s="6">
        <f ca="1">SUMIFS(operations[Amount],operations[Category],Expenses_10[[#This Row],[Category]],operations[Month],$B$11)</f>
        <v>0</v>
      </c>
    </row>
    <row r="10" spans="1:11" x14ac:dyDescent="0.25">
      <c r="J10" t="s">
        <v>16</v>
      </c>
      <c r="K10" s="6">
        <f ca="1">SUMIFS(operations[Amount],operations[Category],Expenses_10[[#This Row],[Category]],operations[Month],$B$11)</f>
        <v>-150</v>
      </c>
    </row>
    <row r="11" spans="1:11" x14ac:dyDescent="0.25">
      <c r="A11" t="s">
        <v>6</v>
      </c>
      <c r="B11" s="5" t="str" cm="1">
        <f t="array" aca="1" ref="B11" ca="1">_xlfn.TEXTAFTER(CELL("filename",A1),"]")</f>
        <v>10</v>
      </c>
      <c r="J11" t="s">
        <v>37</v>
      </c>
      <c r="K11" s="6">
        <f ca="1">SUBTOTAL(109,Expenses_10[Total])</f>
        <v>-2830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6">
        <f ca="1">SUMIFS(operations[Amount],operations[Type],Balance_10[[#This Row],[Type]],operations[Month],$B$11)</f>
        <v>4500</v>
      </c>
    </row>
    <row r="15" spans="1:11" x14ac:dyDescent="0.25">
      <c r="A15" t="s">
        <v>38</v>
      </c>
      <c r="B15" s="6">
        <f ca="1">SUMIFS(operations[Amount],operations[Type],Balance_10[[#This Row],[Type]],operations[Month],$B$11)</f>
        <v>-2830</v>
      </c>
    </row>
    <row r="16" spans="1:11" x14ac:dyDescent="0.25">
      <c r="A16" t="s">
        <v>31</v>
      </c>
      <c r="B16" s="6">
        <f ca="1">SUMIFS(operations[Amount],operations[Type],Balance_10[[#This Row],[Type]],operations[Month],$B$11)</f>
        <v>0</v>
      </c>
    </row>
    <row r="17" spans="1:2" x14ac:dyDescent="0.25">
      <c r="A17" t="s">
        <v>37</v>
      </c>
      <c r="B17" s="6">
        <f ca="1">SUBTOTAL(109,Balance_10[Total])</f>
        <v>1670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B597-ED45-45C9-9D2A-16B5AFECBA5B}">
  <sheetPr codeName="Sheet17"/>
  <dimension ref="A1:K17"/>
  <sheetViews>
    <sheetView workbookViewId="0">
      <selection activeCell="A17" sqref="A1:K17"/>
    </sheetView>
  </sheetViews>
  <sheetFormatPr defaultRowHeight="15" x14ac:dyDescent="0.25"/>
  <cols>
    <col min="1" max="1" width="10" bestFit="1" customWidth="1"/>
    <col min="2" max="2" width="16.28515625" bestFit="1" customWidth="1"/>
    <col min="3" max="3" width="16.28515625" customWidth="1"/>
    <col min="4" max="4" width="13.28515625" bestFit="1" customWidth="1"/>
    <col min="5" max="5" width="15.42578125" customWidth="1"/>
    <col min="7" max="7" width="12" bestFit="1" customWidth="1"/>
    <col min="8" max="8" width="11.140625" bestFit="1" customWidth="1"/>
    <col min="10" max="10" width="13.7109375" bestFit="1" customWidth="1"/>
    <col min="11" max="11" width="10.85546875" bestFit="1" customWidth="1"/>
  </cols>
  <sheetData>
    <row r="1" spans="1:11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11</v>
      </c>
      <c r="B2" t="s">
        <v>8</v>
      </c>
      <c r="C2" s="6" cm="1">
        <f t="array" aca="1" ref="C2" ca="1">INDIRECT("raport_" &amp; $B$11-1 &amp; "[@[Closing balance]]")</f>
        <v>548.5</v>
      </c>
      <c r="D2" s="6">
        <f ca="1">SUMIFS(operations[Amount],operations[Bank],Raport_11[[#This Row],[Bank]],operations[Product],Raport_11[[#This Row],[Product]],operations[Month],$B$11)</f>
        <v>0</v>
      </c>
      <c r="E2" s="6">
        <f ca="1">Raport_11[[#This Row],[Opening balance]]+Raport_11[[#This Row],[Operations]]</f>
        <v>548.5</v>
      </c>
      <c r="G2" s="1" t="s">
        <v>25</v>
      </c>
      <c r="H2" s="6">
        <f ca="1">SUMIFS(operations[Amount],operations[Category],Income_11[[#This Row],[Category]],operations[Month],$B$11)</f>
        <v>0</v>
      </c>
      <c r="J2" t="s">
        <v>18</v>
      </c>
      <c r="K2" s="6">
        <f ca="1">SUMIFS(operations[Amount],operations[Category],Expenses_11[[#This Row],[Category]],operations[Month],$B$11)</f>
        <v>-2000</v>
      </c>
    </row>
    <row r="3" spans="1:11" x14ac:dyDescent="0.25">
      <c r="A3" t="s">
        <v>11</v>
      </c>
      <c r="B3" t="s">
        <v>12</v>
      </c>
      <c r="C3" s="6" cm="1">
        <f t="array" aca="1" ref="C3" ca="1">INDIRECT("raport_" &amp; $B$11-1 &amp; "[@[Closing balance]]")</f>
        <v>1086</v>
      </c>
      <c r="D3" s="6">
        <f ca="1">SUMIFS(operations[Amount],operations[Bank],Raport_11[[#This Row],[Bank]],operations[Product],Raport_11[[#This Row],[Product]],operations[Month],$B$11)</f>
        <v>0</v>
      </c>
      <c r="E3" s="6">
        <f ca="1">Raport_11[[#This Row],[Opening balance]]+Raport_11[[#This Row],[Operations]]</f>
        <v>1086</v>
      </c>
      <c r="G3" s="1" t="s">
        <v>28</v>
      </c>
      <c r="H3" s="6">
        <f ca="1">SUMIFS(operations[Amount],operations[Category],Income_11[[#This Row],[Category]],operations[Month],$B$11)</f>
        <v>0</v>
      </c>
      <c r="J3" t="s">
        <v>22</v>
      </c>
      <c r="K3" s="6">
        <f ca="1">SUMIFS(operations[Amount],operations[Category],Expenses_11[[#This Row],[Category]],operations[Month],$B$11)</f>
        <v>-158</v>
      </c>
    </row>
    <row r="4" spans="1:11" x14ac:dyDescent="0.25">
      <c r="A4" t="s">
        <v>7</v>
      </c>
      <c r="B4" t="s">
        <v>8</v>
      </c>
      <c r="C4" s="6" cm="1">
        <f t="array" aca="1" ref="C4" ca="1">INDIRECT("raport_" &amp; $B$11-1 &amp; "[@[Closing balance]]")</f>
        <v>15756.94</v>
      </c>
      <c r="D4" s="6">
        <f ca="1">SUMIFS(operations[Amount],operations[Bank],Raport_11[[#This Row],[Bank]],operations[Product],Raport_11[[#This Row],[Product]],operations[Month],$B$11)</f>
        <v>960</v>
      </c>
      <c r="E4" s="6">
        <f ca="1">Raport_11[[#This Row],[Opening balance]]+Raport_11[[#This Row],[Operations]]</f>
        <v>16716.940000000002</v>
      </c>
      <c r="G4" s="1" t="s">
        <v>29</v>
      </c>
      <c r="H4" s="6">
        <f ca="1">SUMIFS(operations[Amount],operations[Category],Income_11[[#This Row],[Category]],operations[Month],$B$11)</f>
        <v>400</v>
      </c>
      <c r="J4" t="s">
        <v>20</v>
      </c>
      <c r="K4" s="6">
        <f ca="1">SUMIFS(operations[Amount],operations[Category],Expenses_11[[#This Row],[Category]],operations[Month],$B$11)</f>
        <v>-214</v>
      </c>
    </row>
    <row r="5" spans="1:11" x14ac:dyDescent="0.25">
      <c r="A5" t="s">
        <v>7</v>
      </c>
      <c r="B5" t="s">
        <v>9</v>
      </c>
      <c r="C5" s="6" cm="1">
        <f t="array" aca="1" ref="C5" ca="1">INDIRECT("raport_" &amp; $B$11-1 &amp; "[@[Closing balance]]")</f>
        <v>-40</v>
      </c>
      <c r="D5" s="6">
        <f ca="1">SUMIFS(operations[Amount],operations[Bank],Raport_11[[#This Row],[Bank]],operations[Product],Raport_11[[#This Row],[Product]],operations[Month],$B$11)</f>
        <v>40</v>
      </c>
      <c r="E5" s="6">
        <f ca="1">Raport_11[[#This Row],[Opening balance]]+Raport_11[[#This Row],[Operations]]</f>
        <v>0</v>
      </c>
      <c r="G5" s="1" t="s">
        <v>30</v>
      </c>
      <c r="H5" s="6">
        <f ca="1">SUMIFS(operations[Amount],operations[Category],Income_11[[#This Row],[Category]],operations[Month],$B$11)</f>
        <v>0</v>
      </c>
      <c r="J5" t="s">
        <v>17</v>
      </c>
      <c r="K5" s="6">
        <f ca="1">SUMIFS(operations[Amount],operations[Category],Expenses_11[[#This Row],[Category]],operations[Month],$B$11)</f>
        <v>-506</v>
      </c>
    </row>
    <row r="6" spans="1:11" x14ac:dyDescent="0.25">
      <c r="A6" t="s">
        <v>7</v>
      </c>
      <c r="B6" t="s">
        <v>10</v>
      </c>
      <c r="C6" s="6" cm="1">
        <f t="array" aca="1" ref="C6" ca="1">INDIRECT("raport_" &amp; $B$11-1 &amp; "[@[Closing balance]]")</f>
        <v>0</v>
      </c>
      <c r="D6" s="6">
        <f ca="1">SUMIFS(operations[Amount],operations[Bank],Raport_11[[#This Row],[Bank]],operations[Product],Raport_11[[#This Row],[Product]],operations[Month],$B$11)</f>
        <v>0</v>
      </c>
      <c r="E6" s="6">
        <f ca="1">Raport_11[[#This Row],[Opening balance]]+Raport_11[[#This Row],[Operations]]</f>
        <v>0</v>
      </c>
      <c r="G6" s="1" t="s">
        <v>26</v>
      </c>
      <c r="H6" s="6">
        <f ca="1">SUMIFS(operations[Amount],operations[Category],Income_11[[#This Row],[Category]],operations[Month],$B$11)</f>
        <v>4500</v>
      </c>
      <c r="J6" t="s">
        <v>21</v>
      </c>
      <c r="K6" s="6">
        <f ca="1">SUMIFS(operations[Amount],operations[Category],Expenses_11[[#This Row],[Category]],operations[Month],$B$11)</f>
        <v>-133</v>
      </c>
    </row>
    <row r="7" spans="1:11" x14ac:dyDescent="0.25">
      <c r="A7" t="s">
        <v>13</v>
      </c>
      <c r="B7" t="s">
        <v>15</v>
      </c>
      <c r="C7" s="6" cm="1">
        <f t="array" aca="1" ref="C7" ca="1">INDIRECT("raport_" &amp; $B$11-1 &amp; "[@[Closing balance]]")</f>
        <v>195.51</v>
      </c>
      <c r="D7" s="6">
        <f ca="1">SUMIFS(operations[Amount],operations[Bank],Raport_11[[#This Row],[Bank]],operations[Product],Raport_11[[#This Row],[Product]],operations[Month],$B$11)</f>
        <v>0</v>
      </c>
      <c r="E7" s="6">
        <f ca="1">Raport_11[[#This Row],[Opening balance]]+Raport_11[[#This Row],[Operations]]</f>
        <v>195.51</v>
      </c>
      <c r="G7" s="1" t="s">
        <v>27</v>
      </c>
      <c r="H7" s="6">
        <f ca="1">SUMIFS(operations[Amount],operations[Category],Income_11[[#This Row],[Category]],operations[Month],$B$11)</f>
        <v>0</v>
      </c>
      <c r="J7" t="s">
        <v>19</v>
      </c>
      <c r="K7" s="6">
        <f ca="1">SUMIFS(operations[Amount],operations[Category],Expenses_11[[#This Row],[Category]],operations[Month],$B$11)</f>
        <v>-47</v>
      </c>
    </row>
    <row r="8" spans="1:11" x14ac:dyDescent="0.25">
      <c r="A8" t="s">
        <v>13</v>
      </c>
      <c r="B8" t="s">
        <v>14</v>
      </c>
      <c r="C8" s="6" cm="1">
        <f t="array" aca="1" ref="C8" ca="1">INDIRECT("raport_" &amp; $B$11-1 &amp; "[@[Closing balance]]")</f>
        <v>393</v>
      </c>
      <c r="D8" s="6">
        <f ca="1">SUMIFS(operations[Amount],operations[Bank],Raport_11[[#This Row],[Bank]],operations[Product],Raport_11[[#This Row],[Product]],operations[Month],$B$11)</f>
        <v>400</v>
      </c>
      <c r="E8" s="6">
        <f ca="1">Raport_11[[#This Row],[Opening balance]]+Raport_11[[#This Row],[Operations]]</f>
        <v>793</v>
      </c>
      <c r="G8" t="s">
        <v>37</v>
      </c>
      <c r="H8" s="6">
        <f ca="1">SUBTOTAL(109,Income_11[Total])</f>
        <v>4900</v>
      </c>
      <c r="J8" t="s">
        <v>24</v>
      </c>
      <c r="K8" s="6">
        <f ca="1">SUMIFS(operations[Amount],operations[Category],Expenses_11[[#This Row],[Category]],operations[Month],$B$11)</f>
        <v>-234</v>
      </c>
    </row>
    <row r="9" spans="1:11" x14ac:dyDescent="0.25">
      <c r="A9" s="4" t="s">
        <v>37</v>
      </c>
      <c r="B9" s="4"/>
      <c r="C9" s="6">
        <f ca="1">SUBTOTAL(109,Raport_11[Opening balance])</f>
        <v>17939.95</v>
      </c>
      <c r="D9" s="6">
        <f ca="1">SUBTOTAL(109,Raport_11[Operations])</f>
        <v>1400</v>
      </c>
      <c r="E9" s="6">
        <f ca="1">SUBTOTAL(109,Raport_11[Closing balance])</f>
        <v>19339.95</v>
      </c>
      <c r="J9" t="s">
        <v>23</v>
      </c>
      <c r="K9" s="6">
        <f ca="1">SUMIFS(operations[Amount],operations[Category],Expenses_11[[#This Row],[Category]],operations[Month],$B$11)</f>
        <v>0</v>
      </c>
    </row>
    <row r="10" spans="1:11" x14ac:dyDescent="0.25">
      <c r="J10" t="s">
        <v>16</v>
      </c>
      <c r="K10" s="6">
        <f ca="1">SUMIFS(operations[Amount],operations[Category],Expenses_11[[#This Row],[Category]],operations[Month],$B$11)</f>
        <v>-208</v>
      </c>
    </row>
    <row r="11" spans="1:11" x14ac:dyDescent="0.25">
      <c r="A11" t="s">
        <v>6</v>
      </c>
      <c r="B11" s="5" t="str" cm="1">
        <f t="array" aca="1" ref="B11" ca="1">_xlfn.TEXTAFTER(CELL("filename",A1),"]")</f>
        <v>11</v>
      </c>
      <c r="J11" t="s">
        <v>37</v>
      </c>
      <c r="K11" s="6">
        <f ca="1">SUBTOTAL(109,Expenses_11[Total])</f>
        <v>-3500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6">
        <f ca="1">SUMIFS(operations[Amount],operations[Type],Balance_11[[#This Row],[Type]],operations[Month],$B$11)</f>
        <v>4900</v>
      </c>
    </row>
    <row r="15" spans="1:11" x14ac:dyDescent="0.25">
      <c r="A15" t="s">
        <v>38</v>
      </c>
      <c r="B15" s="6">
        <f ca="1">SUMIFS(operations[Amount],operations[Type],Balance_11[[#This Row],[Type]],operations[Month],$B$11)</f>
        <v>-3500</v>
      </c>
    </row>
    <row r="16" spans="1:11" x14ac:dyDescent="0.25">
      <c r="A16" t="s">
        <v>31</v>
      </c>
      <c r="B16" s="6">
        <f ca="1">SUMIFS(operations[Amount],operations[Type],Balance_11[[#This Row],[Type]],operations[Month],$B$11)</f>
        <v>0</v>
      </c>
    </row>
    <row r="17" spans="1:2" x14ac:dyDescent="0.25">
      <c r="A17" t="s">
        <v>37</v>
      </c>
      <c r="B17" s="6">
        <f ca="1">SUBTOTAL(109,Balance_11[Total])</f>
        <v>1400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005F-CD80-4BFA-88A0-B4E7A30BC177}">
  <sheetPr codeName="Sheet18"/>
  <dimension ref="A1:K17"/>
  <sheetViews>
    <sheetView workbookViewId="0">
      <selection activeCell="K2" sqref="K2"/>
    </sheetView>
  </sheetViews>
  <sheetFormatPr defaultRowHeight="15" x14ac:dyDescent="0.25"/>
  <cols>
    <col min="1" max="1" width="10" bestFit="1" customWidth="1"/>
    <col min="2" max="2" width="16.28515625" bestFit="1" customWidth="1"/>
    <col min="3" max="3" width="16.28515625" customWidth="1"/>
    <col min="4" max="4" width="13.28515625" bestFit="1" customWidth="1"/>
    <col min="5" max="5" width="15.42578125" customWidth="1"/>
    <col min="7" max="7" width="12" bestFit="1" customWidth="1"/>
    <col min="8" max="8" width="11.140625" bestFit="1" customWidth="1"/>
    <col min="10" max="10" width="13.7109375" bestFit="1" customWidth="1"/>
    <col min="11" max="11" width="10.85546875" bestFit="1" customWidth="1"/>
  </cols>
  <sheetData>
    <row r="1" spans="1:11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11</v>
      </c>
      <c r="B2" t="s">
        <v>8</v>
      </c>
      <c r="C2" s="6" cm="1">
        <f t="array" aca="1" ref="C2" ca="1">INDIRECT("raport_" &amp; $B$11-1 &amp; "[@[Closing balance]]")</f>
        <v>548.5</v>
      </c>
      <c r="D2" s="6">
        <f ca="1">SUMIFS(operations[Amount],operations[Bank],Raport_12[[#This Row],[Bank]],operations[Product],Raport_12[[#This Row],[Product]],operations[Month],$B$11)</f>
        <v>0</v>
      </c>
      <c r="E2" s="6">
        <f ca="1">Raport_12[[#This Row],[Opening balance]]+Raport_12[[#This Row],[Operations]]</f>
        <v>548.5</v>
      </c>
      <c r="G2" s="1" t="s">
        <v>25</v>
      </c>
      <c r="H2" s="6">
        <f ca="1">SUMIFS(operations[Amount],operations[Category],Income_12[[#This Row],[Category]],operations[Month],$B$11)</f>
        <v>0</v>
      </c>
      <c r="J2" t="s">
        <v>18</v>
      </c>
      <c r="K2" s="6">
        <f ca="1">SUMIFS(operations[Amount],operations[Category],Expenses_12[[#This Row],[Category]],operations[Month],$B$11)</f>
        <v>-2000</v>
      </c>
    </row>
    <row r="3" spans="1:11" x14ac:dyDescent="0.25">
      <c r="A3" t="s">
        <v>11</v>
      </c>
      <c r="B3" t="s">
        <v>12</v>
      </c>
      <c r="C3" s="6" cm="1">
        <f t="array" aca="1" ref="C3" ca="1">INDIRECT("raport_" &amp; $B$11-1 &amp; "[@[Closing balance]]")</f>
        <v>1086</v>
      </c>
      <c r="D3" s="6">
        <f ca="1">SUMIFS(operations[Amount],operations[Bank],Raport_12[[#This Row],[Bank]],operations[Product],Raport_12[[#This Row],[Product]],operations[Month],$B$11)</f>
        <v>0</v>
      </c>
      <c r="E3" s="6">
        <f ca="1">Raport_12[[#This Row],[Opening balance]]+Raport_12[[#This Row],[Operations]]</f>
        <v>1086</v>
      </c>
      <c r="G3" s="1" t="s">
        <v>28</v>
      </c>
      <c r="H3" s="6">
        <f ca="1">SUMIFS(operations[Amount],operations[Category],Income_12[[#This Row],[Category]],operations[Month],$B$11)</f>
        <v>0</v>
      </c>
      <c r="J3" t="s">
        <v>22</v>
      </c>
      <c r="K3" s="6">
        <f ca="1">SUMIFS(operations[Amount],operations[Category],Expenses_12[[#This Row],[Category]],operations[Month],$B$11)</f>
        <v>-120</v>
      </c>
    </row>
    <row r="4" spans="1:11" x14ac:dyDescent="0.25">
      <c r="A4" t="s">
        <v>7</v>
      </c>
      <c r="B4" t="s">
        <v>8</v>
      </c>
      <c r="C4" s="6" cm="1">
        <f t="array" aca="1" ref="C4" ca="1">INDIRECT("raport_" &amp; $B$11-1 &amp; "[@[Closing balance]]")</f>
        <v>16716.940000000002</v>
      </c>
      <c r="D4" s="6">
        <f ca="1">SUMIFS(operations[Amount],operations[Bank],Raport_12[[#This Row],[Bank]],operations[Product],Raport_12[[#This Row],[Product]],operations[Month],$B$11)</f>
        <v>1320</v>
      </c>
      <c r="E4" s="6">
        <f ca="1">Raport_12[[#This Row],[Opening balance]]+Raport_12[[#This Row],[Operations]]</f>
        <v>18036.940000000002</v>
      </c>
      <c r="G4" s="1" t="s">
        <v>29</v>
      </c>
      <c r="H4" s="6">
        <f ca="1">SUMIFS(operations[Amount],operations[Category],Income_12[[#This Row],[Category]],operations[Month],$B$11)</f>
        <v>2000</v>
      </c>
      <c r="J4" t="s">
        <v>20</v>
      </c>
      <c r="K4" s="6">
        <f ca="1">SUMIFS(operations[Amount],operations[Category],Expenses_12[[#This Row],[Category]],operations[Month],$B$11)</f>
        <v>-450</v>
      </c>
    </row>
    <row r="5" spans="1:11" x14ac:dyDescent="0.25">
      <c r="A5" t="s">
        <v>7</v>
      </c>
      <c r="B5" t="s">
        <v>9</v>
      </c>
      <c r="C5" s="6" cm="1">
        <f t="array" aca="1" ref="C5" ca="1">INDIRECT("raport_" &amp; $B$11-1 &amp; "[@[Closing balance]]")</f>
        <v>0</v>
      </c>
      <c r="D5" s="6">
        <f ca="1">SUMIFS(operations[Amount],operations[Bank],Raport_12[[#This Row],[Bank]],operations[Product],Raport_12[[#This Row],[Product]],operations[Month],$B$11)</f>
        <v>0</v>
      </c>
      <c r="E5" s="6">
        <f ca="1">Raport_12[[#This Row],[Opening balance]]+Raport_12[[#This Row],[Operations]]</f>
        <v>0</v>
      </c>
      <c r="G5" s="1" t="s">
        <v>30</v>
      </c>
      <c r="H5" s="6">
        <f ca="1">SUMIFS(operations[Amount],operations[Category],Income_12[[#This Row],[Category]],operations[Month],$B$11)</f>
        <v>0</v>
      </c>
      <c r="J5" t="s">
        <v>17</v>
      </c>
      <c r="K5" s="6">
        <f ca="1">SUMIFS(operations[Amount],operations[Category],Expenses_12[[#This Row],[Category]],operations[Month],$B$11)</f>
        <v>-700</v>
      </c>
    </row>
    <row r="6" spans="1:11" x14ac:dyDescent="0.25">
      <c r="A6" t="s">
        <v>7</v>
      </c>
      <c r="B6" t="s">
        <v>10</v>
      </c>
      <c r="C6" s="6" cm="1">
        <f t="array" aca="1" ref="C6" ca="1">INDIRECT("raport_" &amp; $B$11-1 &amp; "[@[Closing balance]]")</f>
        <v>0</v>
      </c>
      <c r="D6" s="6">
        <f ca="1">SUMIFS(operations[Amount],operations[Bank],Raport_12[[#This Row],[Bank]],operations[Product],Raport_12[[#This Row],[Product]],operations[Month],$B$11)</f>
        <v>0</v>
      </c>
      <c r="E6" s="6">
        <f ca="1">Raport_12[[#This Row],[Opening balance]]+Raport_12[[#This Row],[Operations]]</f>
        <v>0</v>
      </c>
      <c r="G6" s="1" t="s">
        <v>26</v>
      </c>
      <c r="H6" s="6">
        <f ca="1">SUMIFS(operations[Amount],operations[Category],Income_12[[#This Row],[Category]],operations[Month],$B$11)</f>
        <v>4500</v>
      </c>
      <c r="J6" t="s">
        <v>21</v>
      </c>
      <c r="K6" s="6">
        <f ca="1">SUMIFS(operations[Amount],operations[Category],Expenses_12[[#This Row],[Category]],operations[Month],$B$11)</f>
        <v>-10</v>
      </c>
    </row>
    <row r="7" spans="1:11" x14ac:dyDescent="0.25">
      <c r="A7" t="s">
        <v>13</v>
      </c>
      <c r="B7" t="s">
        <v>15</v>
      </c>
      <c r="C7" s="6" cm="1">
        <f t="array" aca="1" ref="C7" ca="1">INDIRECT("raport_" &amp; $B$11-1 &amp; "[@[Closing balance]]")</f>
        <v>195.51</v>
      </c>
      <c r="D7" s="6">
        <f ca="1">SUMIFS(operations[Amount],operations[Bank],Raport_12[[#This Row],[Bank]],operations[Product],Raport_12[[#This Row],[Product]],operations[Month],$B$11)</f>
        <v>0</v>
      </c>
      <c r="E7" s="6">
        <f ca="1">Raport_12[[#This Row],[Opening balance]]+Raport_12[[#This Row],[Operations]]</f>
        <v>195.51</v>
      </c>
      <c r="G7" s="1" t="s">
        <v>27</v>
      </c>
      <c r="H7" s="6">
        <f ca="1">SUMIFS(operations[Amount],operations[Category],Income_12[[#This Row],[Category]],operations[Month],$B$11)</f>
        <v>0</v>
      </c>
      <c r="J7" t="s">
        <v>19</v>
      </c>
      <c r="K7" s="6">
        <f ca="1">SUMIFS(operations[Amount],operations[Category],Expenses_12[[#This Row],[Category]],operations[Month],$B$11)</f>
        <v>0</v>
      </c>
    </row>
    <row r="8" spans="1:11" x14ac:dyDescent="0.25">
      <c r="A8" t="s">
        <v>13</v>
      </c>
      <c r="B8" t="s">
        <v>14</v>
      </c>
      <c r="C8" s="6" cm="1">
        <f t="array" aca="1" ref="C8" ca="1">INDIRECT("raport_" &amp; $B$11-1 &amp; "[@[Closing balance]]")</f>
        <v>793</v>
      </c>
      <c r="D8" s="6">
        <f ca="1">SUMIFS(operations[Amount],operations[Bank],Raport_12[[#This Row],[Bank]],operations[Product],Raport_12[[#This Row],[Product]],operations[Month],$B$11)</f>
        <v>1100</v>
      </c>
      <c r="E8" s="6">
        <f ca="1">Raport_12[[#This Row],[Opening balance]]+Raport_12[[#This Row],[Operations]]</f>
        <v>1893</v>
      </c>
      <c r="G8" t="s">
        <v>37</v>
      </c>
      <c r="H8" s="6">
        <f ca="1">SUBTOTAL(109,Income_12[Total])</f>
        <v>6500</v>
      </c>
      <c r="J8" t="s">
        <v>24</v>
      </c>
      <c r="K8" s="6">
        <f ca="1">SUMIFS(operations[Amount],operations[Category],Expenses_12[[#This Row],[Category]],operations[Month],$B$11)</f>
        <v>-700</v>
      </c>
    </row>
    <row r="9" spans="1:11" x14ac:dyDescent="0.25">
      <c r="A9" s="4" t="s">
        <v>37</v>
      </c>
      <c r="B9" s="4"/>
      <c r="C9" s="6">
        <f ca="1">SUBTOTAL(109,Raport_12[Opening balance])</f>
        <v>19339.95</v>
      </c>
      <c r="D9" s="6">
        <f ca="1">SUBTOTAL(109,Raport_12[Operations])</f>
        <v>2420</v>
      </c>
      <c r="E9" s="6">
        <f ca="1">SUBTOTAL(109,Raport_12[Closing balance])</f>
        <v>21759.95</v>
      </c>
      <c r="J9" t="s">
        <v>23</v>
      </c>
      <c r="K9" s="6">
        <f ca="1">SUMIFS(operations[Amount],operations[Category],Expenses_12[[#This Row],[Category]],operations[Month],$B$11)</f>
        <v>-100</v>
      </c>
    </row>
    <row r="10" spans="1:11" x14ac:dyDescent="0.25">
      <c r="J10" t="s">
        <v>16</v>
      </c>
      <c r="K10" s="6">
        <f ca="1">SUMIFS(operations[Amount],operations[Category],Expenses_12[[#This Row],[Category]],operations[Month],$B$11)</f>
        <v>0</v>
      </c>
    </row>
    <row r="11" spans="1:11" x14ac:dyDescent="0.25">
      <c r="A11" t="s">
        <v>6</v>
      </c>
      <c r="B11" s="5" t="str" cm="1">
        <f t="array" aca="1" ref="B11" ca="1">_xlfn.TEXTAFTER(CELL("filename",A1),"]")</f>
        <v>12</v>
      </c>
      <c r="J11" t="s">
        <v>37</v>
      </c>
      <c r="K11" s="6">
        <f ca="1">SUBTOTAL(109,Expenses_12[Total])</f>
        <v>-4080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6">
        <f ca="1">SUMIFS(operations[Amount],operations[Type],Balance_12[[#This Row],[Type]],operations[Month],$B$11)</f>
        <v>6500</v>
      </c>
    </row>
    <row r="15" spans="1:11" x14ac:dyDescent="0.25">
      <c r="A15" t="s">
        <v>38</v>
      </c>
      <c r="B15" s="6">
        <f ca="1">SUMIFS(operations[Amount],operations[Type],Balance_12[[#This Row],[Type]],operations[Month],$B$11)</f>
        <v>-4080</v>
      </c>
    </row>
    <row r="16" spans="1:11" x14ac:dyDescent="0.25">
      <c r="A16" t="s">
        <v>31</v>
      </c>
      <c r="B16" s="6">
        <f ca="1">SUMIFS(operations[Amount],operations[Type],Balance_12[[#This Row],[Type]],operations[Month],$B$11)</f>
        <v>0</v>
      </c>
    </row>
    <row r="17" spans="1:2" x14ac:dyDescent="0.25">
      <c r="A17" t="s">
        <v>37</v>
      </c>
      <c r="B17" s="6">
        <f ca="1">SUBTOTAL(109,Balance_12[Total])</f>
        <v>2420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dictionary</vt:lpstr>
      <vt:lpstr>summary1</vt:lpstr>
      <vt:lpstr>summary2</vt:lpstr>
      <vt:lpstr>summary3</vt:lpstr>
      <vt:lpstr>operations</vt:lpstr>
      <vt:lpstr>flows</vt:lpstr>
      <vt:lpstr>1</vt:lpstr>
      <vt:lpstr>2</vt:lpstr>
      <vt:lpstr>4</vt:lpstr>
      <vt:lpstr>3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RisSetupInstall</cp:lastModifiedBy>
  <dcterms:created xsi:type="dcterms:W3CDTF">2024-12-14T15:11:08Z</dcterms:created>
  <dcterms:modified xsi:type="dcterms:W3CDTF">2025-12-06T14:08:12Z</dcterms:modified>
</cp:coreProperties>
</file>