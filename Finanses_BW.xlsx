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116-09\Desktop\"/>
    </mc:Choice>
  </mc:AlternateContent>
  <xr:revisionPtr revIDLastSave="0" documentId="13_ncr:1_{86A9911D-3E5D-41A8-9EBB-0039BF0DD6C9}" xr6:coauthVersionLast="47" xr6:coauthVersionMax="47" xr10:uidLastSave="{00000000-0000-0000-0000-000000000000}"/>
  <bookViews>
    <workbookView xWindow="-120" yWindow="-120" windowWidth="29040" windowHeight="15840" activeTab="14" xr2:uid="{19EE711A-3283-4873-9107-9C9869A047C7}"/>
  </bookViews>
  <sheets>
    <sheet name="flowssummary" sheetId="21" r:id="rId1"/>
    <sheet name="12" sheetId="17" r:id="rId2"/>
    <sheet name="11" sheetId="16" r:id="rId3"/>
    <sheet name="9" sheetId="14" r:id="rId4"/>
    <sheet name="10" sheetId="15" r:id="rId5"/>
    <sheet name="8" sheetId="13" r:id="rId6"/>
    <sheet name="7" sheetId="12" r:id="rId7"/>
    <sheet name="6" sheetId="11" r:id="rId8"/>
    <sheet name="5" sheetId="10" r:id="rId9"/>
    <sheet name="3" sheetId="8" r:id="rId10"/>
    <sheet name="2" sheetId="6" r:id="rId11"/>
    <sheet name="1" sheetId="4" r:id="rId12"/>
    <sheet name="4" sheetId="9" r:id="rId13"/>
    <sheet name="dictionary" sheetId="3" r:id="rId14"/>
    <sheet name="operations" sheetId="2" r:id="rId15"/>
    <sheet name="summary1" sheetId="19" r:id="rId16"/>
    <sheet name="summary2" sheetId="18" r:id="rId17"/>
    <sheet name="summary3" sheetId="20" r:id="rId18"/>
  </sheets>
  <calcPr calcId="191029"/>
  <pivotCaches>
    <pivotCache cacheId="5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21" l="1" a="1"/>
  <c r="N10" i="21" s="1"/>
  <c r="M10" i="21" a="1"/>
  <c r="M10" i="21" s="1"/>
  <c r="L10" i="21" a="1"/>
  <c r="L10" i="21" s="1"/>
  <c r="K10" i="21" a="1"/>
  <c r="K10" i="21" s="1"/>
  <c r="J10" i="21" a="1"/>
  <c r="J10" i="21" s="1"/>
  <c r="I10" i="21" a="1"/>
  <c r="I10" i="21" s="1"/>
  <c r="H10" i="21" a="1"/>
  <c r="H10" i="21" s="1"/>
  <c r="G10" i="21" a="1"/>
  <c r="G10" i="21" s="1"/>
  <c r="F10" i="21" a="1"/>
  <c r="F10" i="21" s="1"/>
  <c r="N9" i="21" a="1"/>
  <c r="N9" i="21" s="1"/>
  <c r="M9" i="21" a="1"/>
  <c r="M9" i="21" s="1"/>
  <c r="L9" i="21" a="1"/>
  <c r="L9" i="21" s="1"/>
  <c r="K9" i="21" a="1"/>
  <c r="K9" i="21" s="1"/>
  <c r="J9" i="21" a="1"/>
  <c r="J9" i="21" s="1"/>
  <c r="I9" i="21" a="1"/>
  <c r="I9" i="21" s="1"/>
  <c r="H9" i="21" a="1"/>
  <c r="H9" i="21" s="1"/>
  <c r="G9" i="21" a="1"/>
  <c r="G9" i="21" s="1"/>
  <c r="F9" i="21" a="1"/>
  <c r="F9" i="21" s="1"/>
  <c r="N8" i="21" a="1"/>
  <c r="N8" i="21" s="1"/>
  <c r="M8" i="21" a="1"/>
  <c r="M8" i="21" s="1"/>
  <c r="L8" i="21" a="1"/>
  <c r="L8" i="21" s="1"/>
  <c r="K8" i="21" a="1"/>
  <c r="K8" i="21" s="1"/>
  <c r="J8" i="21" a="1"/>
  <c r="J8" i="21" s="1"/>
  <c r="I8" i="21" a="1"/>
  <c r="I8" i="21" s="1"/>
  <c r="H8" i="21" a="1"/>
  <c r="H8" i="21" s="1"/>
  <c r="G8" i="21" a="1"/>
  <c r="G8" i="21" s="1"/>
  <c r="F8" i="21" a="1"/>
  <c r="F8" i="21" s="1"/>
  <c r="N7" i="21" a="1"/>
  <c r="N7" i="21" s="1"/>
  <c r="M7" i="21" a="1"/>
  <c r="M7" i="21" s="1"/>
  <c r="L7" i="21" a="1"/>
  <c r="L7" i="21" s="1"/>
  <c r="K7" i="21" a="1"/>
  <c r="K7" i="21" s="1"/>
  <c r="J7" i="21" a="1"/>
  <c r="J7" i="21" s="1"/>
  <c r="I7" i="21" a="1"/>
  <c r="I7" i="21" s="1"/>
  <c r="H7" i="21" a="1"/>
  <c r="H7" i="21" s="1"/>
  <c r="G7" i="21" a="1"/>
  <c r="G7" i="21" s="1"/>
  <c r="F7" i="21" a="1"/>
  <c r="F7" i="21" s="1"/>
  <c r="N6" i="21" a="1"/>
  <c r="N6" i="21" s="1"/>
  <c r="M6" i="21" a="1"/>
  <c r="M6" i="21" s="1"/>
  <c r="L6" i="21" a="1"/>
  <c r="L6" i="21" s="1"/>
  <c r="K6" i="21" a="1"/>
  <c r="K6" i="21" s="1"/>
  <c r="J6" i="21" a="1"/>
  <c r="J6" i="21" s="1"/>
  <c r="I6" i="21" a="1"/>
  <c r="I6" i="21" s="1"/>
  <c r="H6" i="21" a="1"/>
  <c r="H6" i="21" s="1"/>
  <c r="G6" i="21" a="1"/>
  <c r="G6" i="21" s="1"/>
  <c r="F6" i="21" a="1"/>
  <c r="F6" i="21" s="1"/>
  <c r="N5" i="21" a="1"/>
  <c r="N5" i="21" s="1"/>
  <c r="M5" i="21" a="1"/>
  <c r="M5" i="21" s="1"/>
  <c r="L5" i="21" a="1"/>
  <c r="L5" i="21" s="1"/>
  <c r="K5" i="21" a="1"/>
  <c r="K5" i="21" s="1"/>
  <c r="J5" i="21" a="1"/>
  <c r="J5" i="21" s="1"/>
  <c r="I5" i="21" a="1"/>
  <c r="I5" i="21" s="1"/>
  <c r="H5" i="21" a="1"/>
  <c r="H5" i="21" s="1"/>
  <c r="G5" i="21" a="1"/>
  <c r="G5" i="21" s="1"/>
  <c r="F5" i="21" a="1"/>
  <c r="F5" i="21" s="1"/>
  <c r="N4" i="21" a="1"/>
  <c r="N4" i="21" s="1"/>
  <c r="M4" i="21" a="1"/>
  <c r="M4" i="21" s="1"/>
  <c r="L4" i="21" a="1"/>
  <c r="L4" i="21" s="1"/>
  <c r="K4" i="21" a="1"/>
  <c r="K4" i="21" s="1"/>
  <c r="J4" i="21" a="1"/>
  <c r="J4" i="21" s="1"/>
  <c r="I4" i="21" a="1"/>
  <c r="I4" i="21" s="1"/>
  <c r="H4" i="21" a="1"/>
  <c r="H4" i="21" s="1"/>
  <c r="G4" i="21" a="1"/>
  <c r="G4" i="21" s="1"/>
  <c r="F4" i="21" a="1"/>
  <c r="F4" i="21" s="1"/>
  <c r="N3" i="21" a="1"/>
  <c r="N3" i="21" s="1"/>
  <c r="M3" i="21" a="1"/>
  <c r="M3" i="21" s="1"/>
  <c r="L3" i="21" a="1"/>
  <c r="L3" i="21" s="1"/>
  <c r="K3" i="21" a="1"/>
  <c r="K3" i="21" s="1"/>
  <c r="J3" i="21" a="1"/>
  <c r="J3" i="21" s="1"/>
  <c r="I3" i="21" a="1"/>
  <c r="I3" i="21" s="1"/>
  <c r="H3" i="21" a="1"/>
  <c r="H3" i="21" s="1"/>
  <c r="G3" i="21" a="1"/>
  <c r="G3" i="21" s="1"/>
  <c r="F3" i="21" a="1"/>
  <c r="F3" i="21" s="1"/>
  <c r="N2" i="21" a="1"/>
  <c r="N2" i="21" s="1"/>
  <c r="M2" i="21" a="1"/>
  <c r="M2" i="21" s="1"/>
  <c r="L2" i="21" a="1"/>
  <c r="L2" i="21" s="1"/>
  <c r="K2" i="21" a="1"/>
  <c r="K2" i="21" s="1"/>
  <c r="J2" i="21" a="1"/>
  <c r="J2" i="21" s="1"/>
  <c r="I2" i="21" a="1"/>
  <c r="I2" i="21" s="1"/>
  <c r="H2" i="21" a="1"/>
  <c r="H2" i="21" s="1"/>
  <c r="G2" i="21" a="1"/>
  <c r="G2" i="21" s="1"/>
  <c r="F2" i="21" a="1"/>
  <c r="F2" i="21" s="1"/>
  <c r="G131" i="2"/>
  <c r="B12" i="14" a="1"/>
  <c r="B12" i="14" s="1"/>
  <c r="B12" i="17" l="1" a="1"/>
  <c r="B12" i="17" s="1"/>
  <c r="B12" i="16" a="1"/>
  <c r="B12" i="16" s="1"/>
  <c r="B12" i="15" a="1"/>
  <c r="B12" i="15" s="1"/>
  <c r="B12" i="13" a="1"/>
  <c r="B12" i="13" s="1"/>
  <c r="B12" i="12" a="1"/>
  <c r="B12" i="12" s="1"/>
  <c r="B12" i="11" a="1"/>
  <c r="B12" i="11" s="1"/>
  <c r="B12" i="10" a="1"/>
  <c r="B12" i="10" s="1"/>
  <c r="B12" i="9" a="1"/>
  <c r="B12" i="9" s="1"/>
  <c r="B12" i="8" a="1"/>
  <c r="B12" i="8" s="1"/>
  <c r="B12" i="6" a="1"/>
  <c r="B12" i="6" s="1"/>
  <c r="B12" i="4" a="1"/>
  <c r="B12" i="4" s="1"/>
  <c r="C9" i="4"/>
  <c r="P7" i="2" a="1"/>
  <c r="P7" i="2" s="1"/>
  <c r="J2" i="2" a="1"/>
  <c r="J2" i="2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C2" i="17" a="1"/>
  <c r="C2" i="16" a="1"/>
  <c r="C2" i="6" a="1"/>
  <c r="C2" i="11" a="1"/>
  <c r="C2" i="8" a="1"/>
  <c r="C2" i="10" a="1"/>
  <c r="C11" i="21" l="1" a="1"/>
  <c r="C11" i="21" s="1"/>
  <c r="D11" i="21" a="1"/>
  <c r="D11" i="21" s="1"/>
  <c r="E11" i="21" a="1"/>
  <c r="E11" i="21" s="1"/>
  <c r="F11" i="21" a="1"/>
  <c r="F11" i="21" s="1"/>
  <c r="G11" i="21" a="1"/>
  <c r="G11" i="21" s="1"/>
  <c r="H11" i="21" a="1"/>
  <c r="H11" i="21" s="1"/>
  <c r="I11" i="21" a="1"/>
  <c r="I11" i="21" s="1"/>
  <c r="J11" i="21" a="1"/>
  <c r="J11" i="21" s="1"/>
  <c r="K11" i="21" a="1"/>
  <c r="K11" i="21" s="1"/>
  <c r="L11" i="21" a="1"/>
  <c r="L11" i="21" s="1"/>
  <c r="M11" i="21" a="1"/>
  <c r="M11" i="21" s="1"/>
  <c r="N11" i="21" a="1"/>
  <c r="N11" i="21" s="1"/>
  <c r="C14" i="21" a="1"/>
  <c r="C14" i="21" s="1"/>
  <c r="D14" i="21" a="1"/>
  <c r="D14" i="21" s="1"/>
  <c r="M14" i="21" a="1"/>
  <c r="M14" i="21" s="1"/>
  <c r="E14" i="21" a="1"/>
  <c r="E14" i="21" s="1"/>
  <c r="F14" i="21" a="1"/>
  <c r="F14" i="21" s="1"/>
  <c r="G14" i="21" a="1"/>
  <c r="G14" i="21" s="1"/>
  <c r="H14" i="21" a="1"/>
  <c r="H14" i="21" s="1"/>
  <c r="I14" i="21" a="1"/>
  <c r="I14" i="21" s="1"/>
  <c r="J14" i="21" a="1"/>
  <c r="J14" i="21" s="1"/>
  <c r="L14" i="21" a="1"/>
  <c r="L14" i="21" s="1"/>
  <c r="K14" i="21" a="1"/>
  <c r="K14" i="21" s="1"/>
  <c r="G12" i="21" a="1"/>
  <c r="G12" i="21" s="1"/>
  <c r="H12" i="21" a="1"/>
  <c r="H12" i="21" s="1"/>
  <c r="I12" i="21" a="1"/>
  <c r="I12" i="21" s="1"/>
  <c r="J12" i="21" a="1"/>
  <c r="J12" i="21" s="1"/>
  <c r="K12" i="21" a="1"/>
  <c r="K12" i="21" s="1"/>
  <c r="E12" i="21" a="1"/>
  <c r="E12" i="21" s="1"/>
  <c r="L12" i="21" a="1"/>
  <c r="L12" i="21" s="1"/>
  <c r="M12" i="21" a="1"/>
  <c r="M12" i="21" s="1"/>
  <c r="F12" i="21" a="1"/>
  <c r="F12" i="21" s="1"/>
  <c r="N12" i="21" a="1"/>
  <c r="N12" i="21" s="1"/>
  <c r="D12" i="21" a="1"/>
  <c r="D12" i="21" s="1"/>
  <c r="C12" i="21" a="1"/>
  <c r="C12" i="21" s="1"/>
  <c r="D15" i="21" a="1"/>
  <c r="D15" i="21" s="1"/>
  <c r="E15" i="21" a="1"/>
  <c r="E15" i="21" s="1"/>
  <c r="F15" i="21" a="1"/>
  <c r="F15" i="21" s="1"/>
  <c r="G15" i="21" a="1"/>
  <c r="G15" i="21" s="1"/>
  <c r="H15" i="21" a="1"/>
  <c r="H15" i="21" s="1"/>
  <c r="C15" i="21" a="1"/>
  <c r="C15" i="21" s="1"/>
  <c r="I15" i="21" a="1"/>
  <c r="I15" i="21" s="1"/>
  <c r="J15" i="21" a="1"/>
  <c r="J15" i="21" s="1"/>
  <c r="K15" i="21" a="1"/>
  <c r="K15" i="21" s="1"/>
  <c r="L15" i="21" a="1"/>
  <c r="L15" i="21" s="1"/>
  <c r="M15" i="21" a="1"/>
  <c r="M15" i="21" s="1"/>
  <c r="M17" i="21" a="1"/>
  <c r="M17" i="21" s="1"/>
  <c r="K17" i="21" a="1"/>
  <c r="K17" i="21" s="1"/>
  <c r="C17" i="21" a="1"/>
  <c r="C17" i="21" s="1"/>
  <c r="D17" i="21" a="1"/>
  <c r="D17" i="21" s="1"/>
  <c r="E17" i="21" a="1"/>
  <c r="E17" i="21" s="1"/>
  <c r="L17" i="21" a="1"/>
  <c r="L17" i="21" s="1"/>
  <c r="F17" i="21" a="1"/>
  <c r="F17" i="21" s="1"/>
  <c r="J17" i="21" a="1"/>
  <c r="J17" i="21" s="1"/>
  <c r="G17" i="21" a="1"/>
  <c r="G17" i="21" s="1"/>
  <c r="H17" i="21" a="1"/>
  <c r="H17" i="21" s="1"/>
  <c r="I17" i="21" a="1"/>
  <c r="I17" i="21" s="1"/>
  <c r="H16" i="21" a="1"/>
  <c r="H16" i="21" s="1"/>
  <c r="G16" i="21" a="1"/>
  <c r="G16" i="21" s="1"/>
  <c r="I16" i="21" a="1"/>
  <c r="I16" i="21" s="1"/>
  <c r="J16" i="21" a="1"/>
  <c r="J16" i="21" s="1"/>
  <c r="K16" i="21" a="1"/>
  <c r="K16" i="21" s="1"/>
  <c r="L16" i="21" a="1"/>
  <c r="L16" i="21" s="1"/>
  <c r="F16" i="21" a="1"/>
  <c r="F16" i="21" s="1"/>
  <c r="M16" i="21" a="1"/>
  <c r="M16" i="21" s="1"/>
  <c r="E16" i="21" a="1"/>
  <c r="E16" i="21" s="1"/>
  <c r="C16" i="21" a="1"/>
  <c r="C16" i="21" s="1"/>
  <c r="D16" i="21" a="1"/>
  <c r="D16" i="21" s="1"/>
  <c r="K13" i="21" a="1"/>
  <c r="K13" i="21" s="1"/>
  <c r="L13" i="21" a="1"/>
  <c r="L13" i="21" s="1"/>
  <c r="M13" i="21" a="1"/>
  <c r="M13" i="21" s="1"/>
  <c r="N13" i="21" a="1"/>
  <c r="N13" i="21" s="1"/>
  <c r="J13" i="21" a="1"/>
  <c r="J13" i="21" s="1"/>
  <c r="C13" i="21" a="1"/>
  <c r="C13" i="21" s="1"/>
  <c r="D13" i="21" a="1"/>
  <c r="D13" i="21" s="1"/>
  <c r="I13" i="21" a="1"/>
  <c r="I13" i="21" s="1"/>
  <c r="E13" i="21" a="1"/>
  <c r="E13" i="21" s="1"/>
  <c r="F13" i="21" a="1"/>
  <c r="F13" i="21" s="1"/>
  <c r="G13" i="21" a="1"/>
  <c r="G13" i="21" s="1"/>
  <c r="H13" i="21" a="1"/>
  <c r="H13" i="21" s="1"/>
  <c r="K14" i="18"/>
  <c r="I13" i="19" a="1"/>
  <c r="I13" i="19" s="1"/>
  <c r="L14" i="18"/>
  <c r="M14" i="18"/>
  <c r="J13" i="19" a="1"/>
  <c r="J13" i="19" s="1"/>
  <c r="N14" i="18"/>
  <c r="K13" i="19" a="1"/>
  <c r="K13" i="19" s="1"/>
  <c r="L13" i="19" a="1"/>
  <c r="L13" i="19" s="1"/>
  <c r="M13" i="19" a="1"/>
  <c r="M13" i="19" s="1"/>
  <c r="H13" i="19" a="1"/>
  <c r="H13" i="19" s="1"/>
  <c r="N13" i="19" a="1"/>
  <c r="N13" i="19" s="1"/>
  <c r="C14" i="18"/>
  <c r="D14" i="18"/>
  <c r="E14" i="18"/>
  <c r="C13" i="19" a="1"/>
  <c r="C13" i="19" s="1"/>
  <c r="F14" i="18"/>
  <c r="D13" i="19" a="1"/>
  <c r="D13" i="19" s="1"/>
  <c r="G14" i="18"/>
  <c r="E13" i="19" a="1"/>
  <c r="E13" i="19" s="1"/>
  <c r="J14" i="18"/>
  <c r="H14" i="18"/>
  <c r="F13" i="19" a="1"/>
  <c r="F13" i="19" s="1"/>
  <c r="I14" i="18"/>
  <c r="G13" i="19" a="1"/>
  <c r="G13" i="19" s="1"/>
  <c r="M10" i="19" a="1"/>
  <c r="M10" i="19" s="1"/>
  <c r="N10" i="19" a="1"/>
  <c r="N10" i="19" s="1"/>
  <c r="C10" i="18"/>
  <c r="D10" i="18"/>
  <c r="N10" i="18"/>
  <c r="E10" i="18"/>
  <c r="C10" i="19" a="1"/>
  <c r="C10" i="19" s="1"/>
  <c r="F10" i="18"/>
  <c r="D10" i="19" a="1"/>
  <c r="D10" i="19" s="1"/>
  <c r="G10" i="18"/>
  <c r="E10" i="19" a="1"/>
  <c r="E10" i="19" s="1"/>
  <c r="H10" i="18"/>
  <c r="F10" i="19" a="1"/>
  <c r="F10" i="19" s="1"/>
  <c r="I10" i="18"/>
  <c r="G10" i="19" a="1"/>
  <c r="G10" i="19" s="1"/>
  <c r="J10" i="18"/>
  <c r="H10" i="19" a="1"/>
  <c r="H10" i="19" s="1"/>
  <c r="K10" i="18"/>
  <c r="I10" i="19" a="1"/>
  <c r="I10" i="19" s="1"/>
  <c r="L10" i="18"/>
  <c r="J10" i="19" a="1"/>
  <c r="J10" i="19" s="1"/>
  <c r="L10" i="19" a="1"/>
  <c r="L10" i="19" s="1"/>
  <c r="M10" i="18"/>
  <c r="K10" i="19" a="1"/>
  <c r="K10" i="19" s="1"/>
  <c r="G17" i="18"/>
  <c r="D16" i="19" a="1"/>
  <c r="D16" i="19" s="1"/>
  <c r="F17" i="18"/>
  <c r="H17" i="18"/>
  <c r="E16" i="19" a="1"/>
  <c r="E16" i="19" s="1"/>
  <c r="I17" i="18"/>
  <c r="F16" i="19" a="1"/>
  <c r="F16" i="19" s="1"/>
  <c r="J17" i="18"/>
  <c r="G16" i="19" a="1"/>
  <c r="G16" i="19" s="1"/>
  <c r="K17" i="18"/>
  <c r="H16" i="19" a="1"/>
  <c r="H16" i="19" s="1"/>
  <c r="L17" i="18"/>
  <c r="I16" i="19" a="1"/>
  <c r="I16" i="19" s="1"/>
  <c r="M17" i="18"/>
  <c r="J16" i="19" a="1"/>
  <c r="J16" i="19" s="1"/>
  <c r="N17" i="18"/>
  <c r="K16" i="19" a="1"/>
  <c r="K16" i="19" s="1"/>
  <c r="L16" i="19" a="1"/>
  <c r="L16" i="19" s="1"/>
  <c r="M16" i="19" a="1"/>
  <c r="M16" i="19" s="1"/>
  <c r="N16" i="19" a="1"/>
  <c r="N16" i="19" s="1"/>
  <c r="C16" i="19" a="1"/>
  <c r="C16" i="19" s="1"/>
  <c r="C17" i="18"/>
  <c r="D17" i="18"/>
  <c r="E17" i="18"/>
  <c r="G8" i="18"/>
  <c r="H8" i="18"/>
  <c r="F8" i="19" a="1"/>
  <c r="F8" i="19" s="1"/>
  <c r="I8" i="18"/>
  <c r="G8" i="19" a="1"/>
  <c r="G8" i="19" s="1"/>
  <c r="J8" i="18"/>
  <c r="H8" i="19" a="1"/>
  <c r="H8" i="19" s="1"/>
  <c r="K8" i="18"/>
  <c r="I8" i="19" a="1"/>
  <c r="I8" i="19" s="1"/>
  <c r="L8" i="18"/>
  <c r="J8" i="19" a="1"/>
  <c r="J8" i="19" s="1"/>
  <c r="M8" i="18"/>
  <c r="K8" i="19" a="1"/>
  <c r="K8" i="19" s="1"/>
  <c r="N8" i="18"/>
  <c r="L8" i="19" a="1"/>
  <c r="L8" i="19" s="1"/>
  <c r="M8" i="19" a="1"/>
  <c r="M8" i="19" s="1"/>
  <c r="E8" i="19" a="1"/>
  <c r="E8" i="19" s="1"/>
  <c r="N8" i="19" a="1"/>
  <c r="N8" i="19" s="1"/>
  <c r="C8" i="18"/>
  <c r="D8" i="18"/>
  <c r="C8" i="19" a="1"/>
  <c r="C8" i="19" s="1"/>
  <c r="E8" i="18"/>
  <c r="D8" i="19" a="1"/>
  <c r="D8" i="19" s="1"/>
  <c r="F8" i="18"/>
  <c r="L14" i="19" a="1"/>
  <c r="L14" i="19" s="1"/>
  <c r="M14" i="19" a="1"/>
  <c r="M14" i="19" s="1"/>
  <c r="K14" i="19" a="1"/>
  <c r="K14" i="19" s="1"/>
  <c r="N14" i="19" a="1"/>
  <c r="N14" i="19" s="1"/>
  <c r="C15" i="18"/>
  <c r="D15" i="18"/>
  <c r="E15" i="18"/>
  <c r="F15" i="18"/>
  <c r="C14" i="19" a="1"/>
  <c r="C14" i="19" s="1"/>
  <c r="G15" i="18"/>
  <c r="D14" i="19" a="1"/>
  <c r="D14" i="19" s="1"/>
  <c r="H15" i="18"/>
  <c r="E14" i="19" a="1"/>
  <c r="E14" i="19" s="1"/>
  <c r="I15" i="18"/>
  <c r="F14" i="19" a="1"/>
  <c r="F14" i="19" s="1"/>
  <c r="J15" i="18"/>
  <c r="G14" i="19" a="1"/>
  <c r="G14" i="19" s="1"/>
  <c r="N15" i="18"/>
  <c r="K15" i="18"/>
  <c r="H14" i="19" a="1"/>
  <c r="H14" i="19" s="1"/>
  <c r="L15" i="18"/>
  <c r="I14" i="19" a="1"/>
  <c r="I14" i="19" s="1"/>
  <c r="M15" i="18"/>
  <c r="J14" i="19" a="1"/>
  <c r="J14" i="19" s="1"/>
  <c r="N6" i="19" a="1"/>
  <c r="N6" i="19" s="1"/>
  <c r="C6" i="18"/>
  <c r="D6" i="18"/>
  <c r="C6" i="19" a="1"/>
  <c r="C6" i="19" s="1"/>
  <c r="E6" i="18"/>
  <c r="D6" i="19" a="1"/>
  <c r="D6" i="19" s="1"/>
  <c r="F6" i="18"/>
  <c r="E6" i="19" a="1"/>
  <c r="E6" i="19" s="1"/>
  <c r="M6" i="19" a="1"/>
  <c r="M6" i="19" s="1"/>
  <c r="G6" i="18"/>
  <c r="F6" i="19" a="1"/>
  <c r="F6" i="19" s="1"/>
  <c r="N6" i="18"/>
  <c r="H6" i="18"/>
  <c r="G6" i="19" a="1"/>
  <c r="G6" i="19" s="1"/>
  <c r="I6" i="18"/>
  <c r="H6" i="19" a="1"/>
  <c r="H6" i="19" s="1"/>
  <c r="J6" i="18"/>
  <c r="I6" i="19" a="1"/>
  <c r="I6" i="19" s="1"/>
  <c r="K6" i="18"/>
  <c r="J6" i="19" a="1"/>
  <c r="J6" i="19" s="1"/>
  <c r="L6" i="18"/>
  <c r="K6" i="19" a="1"/>
  <c r="K6" i="19" s="1"/>
  <c r="M6" i="18"/>
  <c r="L6" i="19" a="1"/>
  <c r="L6" i="19" s="1"/>
  <c r="C7" i="18"/>
  <c r="D7" i="18"/>
  <c r="C7" i="19" a="1"/>
  <c r="C7" i="19" s="1"/>
  <c r="E7" i="18"/>
  <c r="D7" i="19" a="1"/>
  <c r="D7" i="19" s="1"/>
  <c r="F7" i="18"/>
  <c r="E7" i="19" a="1"/>
  <c r="E7" i="19" s="1"/>
  <c r="G7" i="18"/>
  <c r="F7" i="19" a="1"/>
  <c r="F7" i="19" s="1"/>
  <c r="H7" i="18"/>
  <c r="G7" i="19" a="1"/>
  <c r="G7" i="19" s="1"/>
  <c r="I7" i="18"/>
  <c r="H7" i="19" a="1"/>
  <c r="H7" i="19" s="1"/>
  <c r="J7" i="18"/>
  <c r="I7" i="19" a="1"/>
  <c r="I7" i="19" s="1"/>
  <c r="K7" i="18"/>
  <c r="J7" i="19" a="1"/>
  <c r="J7" i="19" s="1"/>
  <c r="L7" i="18"/>
  <c r="K7" i="19" a="1"/>
  <c r="K7" i="19" s="1"/>
  <c r="M7" i="18"/>
  <c r="L7" i="19" a="1"/>
  <c r="L7" i="19" s="1"/>
  <c r="N7" i="18"/>
  <c r="M7" i="19" a="1"/>
  <c r="M7" i="19" s="1"/>
  <c r="N7" i="19" a="1"/>
  <c r="N7" i="19" s="1"/>
  <c r="C2" i="19" a="1"/>
  <c r="C2" i="19" s="1"/>
  <c r="M2" i="19" a="1"/>
  <c r="M2" i="19" s="1"/>
  <c r="N2" i="19" a="1"/>
  <c r="N2" i="19" s="1"/>
  <c r="D2" i="18"/>
  <c r="E2" i="18"/>
  <c r="F2" i="18"/>
  <c r="C2" i="18"/>
  <c r="L2" i="19" a="1"/>
  <c r="L2" i="19" s="1"/>
  <c r="G2" i="18"/>
  <c r="D2" i="19" a="1"/>
  <c r="D2" i="19" s="1"/>
  <c r="H2" i="18"/>
  <c r="E2" i="19" a="1"/>
  <c r="E2" i="19" s="1"/>
  <c r="I2" i="18"/>
  <c r="F2" i="19" a="1"/>
  <c r="F2" i="19" s="1"/>
  <c r="J2" i="18"/>
  <c r="G2" i="19" a="1"/>
  <c r="G2" i="19" s="1"/>
  <c r="K2" i="18"/>
  <c r="H2" i="19" a="1"/>
  <c r="H2" i="19" s="1"/>
  <c r="L2" i="18"/>
  <c r="I2" i="19" a="1"/>
  <c r="I2" i="19" s="1"/>
  <c r="M2" i="18"/>
  <c r="J2" i="19" a="1"/>
  <c r="J2" i="19" s="1"/>
  <c r="N2" i="18"/>
  <c r="K2" i="19" a="1"/>
  <c r="K2" i="19" s="1"/>
  <c r="G13" i="18"/>
  <c r="E12" i="19" a="1"/>
  <c r="E12" i="19" s="1"/>
  <c r="H13" i="18"/>
  <c r="F12" i="19" a="1"/>
  <c r="F12" i="19" s="1"/>
  <c r="I13" i="18"/>
  <c r="G12" i="19" a="1"/>
  <c r="G12" i="19" s="1"/>
  <c r="J13" i="18"/>
  <c r="H12" i="19" a="1"/>
  <c r="H12" i="19" s="1"/>
  <c r="K13" i="18"/>
  <c r="I12" i="19" a="1"/>
  <c r="I12" i="19" s="1"/>
  <c r="L13" i="18"/>
  <c r="J12" i="19" a="1"/>
  <c r="J12" i="19" s="1"/>
  <c r="M13" i="18"/>
  <c r="K12" i="19" a="1"/>
  <c r="K12" i="19" s="1"/>
  <c r="N13" i="18"/>
  <c r="L12" i="19" a="1"/>
  <c r="L12" i="19" s="1"/>
  <c r="M12" i="19" a="1"/>
  <c r="M12" i="19" s="1"/>
  <c r="N12" i="19" a="1"/>
  <c r="N12" i="19" s="1"/>
  <c r="F13" i="18"/>
  <c r="D12" i="19" a="1"/>
  <c r="D12" i="19" s="1"/>
  <c r="C13" i="18"/>
  <c r="D13" i="18"/>
  <c r="E13" i="18"/>
  <c r="C12" i="19" a="1"/>
  <c r="C12" i="19" s="1"/>
  <c r="C16" i="18"/>
  <c r="D16" i="18"/>
  <c r="E16" i="18"/>
  <c r="F16" i="18"/>
  <c r="C15" i="19" a="1"/>
  <c r="C15" i="19" s="1"/>
  <c r="G16" i="18"/>
  <c r="D15" i="19" a="1"/>
  <c r="D15" i="19" s="1"/>
  <c r="H16" i="18"/>
  <c r="E15" i="19" a="1"/>
  <c r="E15" i="19" s="1"/>
  <c r="I16" i="18"/>
  <c r="F15" i="19" a="1"/>
  <c r="F15" i="19" s="1"/>
  <c r="J16" i="18"/>
  <c r="G15" i="19" a="1"/>
  <c r="G15" i="19" s="1"/>
  <c r="K16" i="18"/>
  <c r="H15" i="19" a="1"/>
  <c r="H15" i="19" s="1"/>
  <c r="L16" i="18"/>
  <c r="I15" i="19" a="1"/>
  <c r="I15" i="19" s="1"/>
  <c r="M16" i="18"/>
  <c r="J15" i="19" a="1"/>
  <c r="J15" i="19" s="1"/>
  <c r="N16" i="18"/>
  <c r="K15" i="19" a="1"/>
  <c r="K15" i="19" s="1"/>
  <c r="L15" i="19" a="1"/>
  <c r="L15" i="19" s="1"/>
  <c r="M15" i="19" a="1"/>
  <c r="M15" i="19" s="1"/>
  <c r="N15" i="19" a="1"/>
  <c r="N15" i="19" s="1"/>
  <c r="G4" i="18"/>
  <c r="F4" i="19" a="1"/>
  <c r="F4" i="19" s="1"/>
  <c r="H4" i="18"/>
  <c r="G4" i="19" a="1"/>
  <c r="G4" i="19" s="1"/>
  <c r="I4" i="18"/>
  <c r="H4" i="19" a="1"/>
  <c r="H4" i="19" s="1"/>
  <c r="J4" i="18"/>
  <c r="I4" i="19" a="1"/>
  <c r="I4" i="19" s="1"/>
  <c r="E4" i="19" a="1"/>
  <c r="E4" i="19" s="1"/>
  <c r="K4" i="18"/>
  <c r="J4" i="19" a="1"/>
  <c r="J4" i="19" s="1"/>
  <c r="L4" i="18"/>
  <c r="K4" i="19" a="1"/>
  <c r="K4" i="19" s="1"/>
  <c r="M4" i="18"/>
  <c r="L4" i="19" a="1"/>
  <c r="L4" i="19" s="1"/>
  <c r="N4" i="18"/>
  <c r="M4" i="19" a="1"/>
  <c r="M4" i="19" s="1"/>
  <c r="F4" i="18"/>
  <c r="N4" i="19" a="1"/>
  <c r="N4" i="19" s="1"/>
  <c r="C4" i="18"/>
  <c r="D4" i="18"/>
  <c r="C4" i="19" a="1"/>
  <c r="C4" i="19" s="1"/>
  <c r="E4" i="18"/>
  <c r="D4" i="19" a="1"/>
  <c r="D4" i="19" s="1"/>
  <c r="C12" i="18"/>
  <c r="D12" i="18"/>
  <c r="E12" i="18"/>
  <c r="C11" i="19" a="1"/>
  <c r="C11" i="19" s="1"/>
  <c r="F12" i="18"/>
  <c r="D11" i="19" a="1"/>
  <c r="D11" i="19" s="1"/>
  <c r="G12" i="18"/>
  <c r="E11" i="19" a="1"/>
  <c r="E11" i="19" s="1"/>
  <c r="H12" i="18"/>
  <c r="F11" i="19" a="1"/>
  <c r="F11" i="19" s="1"/>
  <c r="I12" i="18"/>
  <c r="G11" i="19" a="1"/>
  <c r="G11" i="19" s="1"/>
  <c r="J12" i="18"/>
  <c r="H11" i="19" a="1"/>
  <c r="H11" i="19" s="1"/>
  <c r="K12" i="18"/>
  <c r="I11" i="19" a="1"/>
  <c r="I11" i="19" s="1"/>
  <c r="L12" i="18"/>
  <c r="J11" i="19" a="1"/>
  <c r="J11" i="19" s="1"/>
  <c r="M12" i="18"/>
  <c r="K11" i="19" a="1"/>
  <c r="K11" i="19" s="1"/>
  <c r="N12" i="18"/>
  <c r="L11" i="19" a="1"/>
  <c r="L11" i="19" s="1"/>
  <c r="M11" i="19" a="1"/>
  <c r="M11" i="19" s="1"/>
  <c r="N11" i="19" a="1"/>
  <c r="N11" i="19" s="1"/>
  <c r="K5" i="18"/>
  <c r="J5" i="19" a="1"/>
  <c r="J5" i="19" s="1"/>
  <c r="L5" i="18"/>
  <c r="K5" i="19" a="1"/>
  <c r="K5" i="19" s="1"/>
  <c r="M5" i="18"/>
  <c r="L5" i="19" a="1"/>
  <c r="L5" i="19" s="1"/>
  <c r="N5" i="18"/>
  <c r="M5" i="19" a="1"/>
  <c r="M5" i="19" s="1"/>
  <c r="N5" i="19" a="1"/>
  <c r="N5" i="19" s="1"/>
  <c r="C5" i="18"/>
  <c r="D5" i="18"/>
  <c r="C5" i="19" a="1"/>
  <c r="C5" i="19" s="1"/>
  <c r="J5" i="18"/>
  <c r="E5" i="18"/>
  <c r="D5" i="19" a="1"/>
  <c r="D5" i="19" s="1"/>
  <c r="F5" i="18"/>
  <c r="E5" i="19" a="1"/>
  <c r="E5" i="19" s="1"/>
  <c r="G5" i="18"/>
  <c r="F5" i="19" a="1"/>
  <c r="F5" i="19" s="1"/>
  <c r="H5" i="18"/>
  <c r="G5" i="19" a="1"/>
  <c r="G5" i="19" s="1"/>
  <c r="I5" i="18"/>
  <c r="H5" i="19" a="1"/>
  <c r="H5" i="19" s="1"/>
  <c r="I5" i="19" a="1"/>
  <c r="I5" i="19" s="1"/>
  <c r="K19" i="18"/>
  <c r="K20" i="18" s="1"/>
  <c r="H17" i="19" a="1"/>
  <c r="H17" i="19" s="1"/>
  <c r="L19" i="18"/>
  <c r="L20" i="18" s="1"/>
  <c r="I17" i="19" a="1"/>
  <c r="I17" i="19" s="1"/>
  <c r="L17" i="19" a="1"/>
  <c r="L17" i="19" s="1"/>
  <c r="M19" i="18"/>
  <c r="M20" i="18" s="1"/>
  <c r="J17" i="19" a="1"/>
  <c r="J17" i="19" s="1"/>
  <c r="N19" i="18"/>
  <c r="N20" i="18" s="1"/>
  <c r="K17" i="19" a="1"/>
  <c r="K17" i="19" s="1"/>
  <c r="M17" i="19" a="1"/>
  <c r="M17" i="19" s="1"/>
  <c r="N17" i="19" a="1"/>
  <c r="N17" i="19" s="1"/>
  <c r="C19" i="18"/>
  <c r="C20" i="18" s="1"/>
  <c r="D19" i="18"/>
  <c r="D20" i="18" s="1"/>
  <c r="J19" i="18"/>
  <c r="J20" i="18" s="1"/>
  <c r="G17" i="19" a="1"/>
  <c r="G17" i="19" s="1"/>
  <c r="E19" i="18"/>
  <c r="E20" i="18" s="1"/>
  <c r="F19" i="18"/>
  <c r="F20" i="18" s="1"/>
  <c r="C17" i="19" a="1"/>
  <c r="C17" i="19" s="1"/>
  <c r="D17" i="19" a="1"/>
  <c r="D17" i="19" s="1"/>
  <c r="G19" i="18"/>
  <c r="G20" i="18" s="1"/>
  <c r="H19" i="18"/>
  <c r="H20" i="18" s="1"/>
  <c r="E17" i="19" a="1"/>
  <c r="E17" i="19" s="1"/>
  <c r="I19" i="18"/>
  <c r="I20" i="18" s="1"/>
  <c r="F17" i="19" a="1"/>
  <c r="F17" i="19" s="1"/>
  <c r="K9" i="18"/>
  <c r="I9" i="19" a="1"/>
  <c r="I9" i="19" s="1"/>
  <c r="L9" i="18"/>
  <c r="J9" i="19" a="1"/>
  <c r="J9" i="19" s="1"/>
  <c r="M9" i="18"/>
  <c r="K9" i="19" a="1"/>
  <c r="K9" i="19" s="1"/>
  <c r="N9" i="18"/>
  <c r="L9" i="19" a="1"/>
  <c r="L9" i="19" s="1"/>
  <c r="M9" i="19" a="1"/>
  <c r="M9" i="19" s="1"/>
  <c r="H9" i="19" a="1"/>
  <c r="H9" i="19" s="1"/>
  <c r="N9" i="19" a="1"/>
  <c r="N9" i="19" s="1"/>
  <c r="C9" i="18"/>
  <c r="D9" i="18"/>
  <c r="E9" i="18"/>
  <c r="C9" i="19" a="1"/>
  <c r="C9" i="19" s="1"/>
  <c r="F9" i="18"/>
  <c r="D9" i="19" a="1"/>
  <c r="D9" i="19" s="1"/>
  <c r="G9" i="18"/>
  <c r="E9" i="19" a="1"/>
  <c r="E9" i="19" s="1"/>
  <c r="H9" i="18"/>
  <c r="F9" i="19" a="1"/>
  <c r="F9" i="19" s="1"/>
  <c r="J9" i="18"/>
  <c r="I9" i="18"/>
  <c r="G9" i="19" a="1"/>
  <c r="G9" i="19" s="1"/>
  <c r="C3" i="18"/>
  <c r="D3" i="18"/>
  <c r="C3" i="19" a="1"/>
  <c r="C3" i="19" s="1"/>
  <c r="E3" i="18"/>
  <c r="D3" i="19" a="1"/>
  <c r="D3" i="19" s="1"/>
  <c r="F3" i="18"/>
  <c r="E3" i="19" a="1"/>
  <c r="E3" i="19" s="1"/>
  <c r="G3" i="18"/>
  <c r="F3" i="19" a="1"/>
  <c r="F3" i="19" s="1"/>
  <c r="H3" i="18"/>
  <c r="G3" i="19" a="1"/>
  <c r="G3" i="19" s="1"/>
  <c r="I3" i="18"/>
  <c r="H3" i="19" a="1"/>
  <c r="H3" i="19" s="1"/>
  <c r="J3" i="18"/>
  <c r="I3" i="19" a="1"/>
  <c r="I3" i="19" s="1"/>
  <c r="K3" i="18"/>
  <c r="J3" i="19" a="1"/>
  <c r="J3" i="19" s="1"/>
  <c r="L3" i="18"/>
  <c r="K3" i="19" a="1"/>
  <c r="K3" i="19" s="1"/>
  <c r="M3" i="18"/>
  <c r="L3" i="19" a="1"/>
  <c r="L3" i="19" s="1"/>
  <c r="N3" i="18"/>
  <c r="M3" i="19" a="1"/>
  <c r="M3" i="19" s="1"/>
  <c r="N3" i="19" a="1"/>
  <c r="N3" i="19" s="1"/>
  <c r="C2" i="17"/>
  <c r="C2" i="16"/>
  <c r="C2" i="6"/>
  <c r="C2" i="11"/>
  <c r="C2" i="8"/>
  <c r="C2" i="10"/>
  <c r="D2" i="4"/>
  <c r="K3" i="4"/>
  <c r="D8" i="17"/>
  <c r="E8" i="17" s="1"/>
  <c r="D4" i="17"/>
  <c r="E4" i="17" s="1"/>
  <c r="D7" i="17"/>
  <c r="E7" i="17" s="1"/>
  <c r="D3" i="17"/>
  <c r="E3" i="17" s="1"/>
  <c r="D5" i="17"/>
  <c r="E5" i="17" s="1"/>
  <c r="D2" i="17"/>
  <c r="D6" i="17"/>
  <c r="E6" i="17" s="1"/>
  <c r="K4" i="17"/>
  <c r="K8" i="17"/>
  <c r="H4" i="17"/>
  <c r="H5" i="17"/>
  <c r="K5" i="17"/>
  <c r="K9" i="17"/>
  <c r="K10" i="17"/>
  <c r="K11" i="17"/>
  <c r="H6" i="17"/>
  <c r="H2" i="17"/>
  <c r="K6" i="17"/>
  <c r="B15" i="17"/>
  <c r="H3" i="17"/>
  <c r="H7" i="17"/>
  <c r="B16" i="17"/>
  <c r="K3" i="17"/>
  <c r="K7" i="17"/>
  <c r="B17" i="17"/>
  <c r="D8" i="16"/>
  <c r="E8" i="16" s="1"/>
  <c r="D4" i="16"/>
  <c r="E4" i="16" s="1"/>
  <c r="D7" i="16"/>
  <c r="E7" i="16" s="1"/>
  <c r="D3" i="16"/>
  <c r="E3" i="16" s="1"/>
  <c r="D5" i="16"/>
  <c r="E5" i="16" s="1"/>
  <c r="D2" i="16"/>
  <c r="D6" i="16"/>
  <c r="E6" i="16" s="1"/>
  <c r="K8" i="16"/>
  <c r="H5" i="16"/>
  <c r="K5" i="16"/>
  <c r="K9" i="16"/>
  <c r="K10" i="16"/>
  <c r="K11" i="16"/>
  <c r="H6" i="16"/>
  <c r="H2" i="16"/>
  <c r="K6" i="16"/>
  <c r="H4" i="16"/>
  <c r="K4" i="16"/>
  <c r="B15" i="16"/>
  <c r="H3" i="16"/>
  <c r="H7" i="16"/>
  <c r="B16" i="16"/>
  <c r="K3" i="16"/>
  <c r="K7" i="16"/>
  <c r="B17" i="16"/>
  <c r="D8" i="15"/>
  <c r="E8" i="15" s="1"/>
  <c r="D4" i="15"/>
  <c r="E4" i="15" s="1"/>
  <c r="D7" i="15"/>
  <c r="E7" i="15" s="1"/>
  <c r="D3" i="15"/>
  <c r="E3" i="15" s="1"/>
  <c r="D5" i="15"/>
  <c r="E5" i="15" s="1"/>
  <c r="D2" i="15"/>
  <c r="D6" i="15"/>
  <c r="E6" i="15" s="1"/>
  <c r="K4" i="15"/>
  <c r="K8" i="15"/>
  <c r="H4" i="15"/>
  <c r="K5" i="15"/>
  <c r="K9" i="15"/>
  <c r="K10" i="15"/>
  <c r="H5" i="15"/>
  <c r="K11" i="15"/>
  <c r="H6" i="15"/>
  <c r="H2" i="15"/>
  <c r="K6" i="15"/>
  <c r="B15" i="15"/>
  <c r="H3" i="15"/>
  <c r="H7" i="15"/>
  <c r="B16" i="15"/>
  <c r="K3" i="15"/>
  <c r="K7" i="15"/>
  <c r="B17" i="15"/>
  <c r="D8" i="14"/>
  <c r="E8" i="14" s="1"/>
  <c r="D4" i="14"/>
  <c r="E4" i="14" s="1"/>
  <c r="D7" i="14"/>
  <c r="E7" i="14" s="1"/>
  <c r="D3" i="14"/>
  <c r="E3" i="14" s="1"/>
  <c r="D2" i="14"/>
  <c r="D6" i="14"/>
  <c r="E6" i="14" s="1"/>
  <c r="D5" i="14"/>
  <c r="E5" i="14" s="1"/>
  <c r="K4" i="14"/>
  <c r="K8" i="14"/>
  <c r="K5" i="14"/>
  <c r="K9" i="14"/>
  <c r="H5" i="14"/>
  <c r="K10" i="14"/>
  <c r="H4" i="14"/>
  <c r="K11" i="14"/>
  <c r="H6" i="14"/>
  <c r="H2" i="14"/>
  <c r="K6" i="14"/>
  <c r="B15" i="14"/>
  <c r="H3" i="14"/>
  <c r="H7" i="14"/>
  <c r="B16" i="14"/>
  <c r="K3" i="14"/>
  <c r="K7" i="14"/>
  <c r="B17" i="14"/>
  <c r="D8" i="13"/>
  <c r="E8" i="13" s="1"/>
  <c r="D4" i="13"/>
  <c r="E4" i="13" s="1"/>
  <c r="D7" i="13"/>
  <c r="E7" i="13" s="1"/>
  <c r="D3" i="13"/>
  <c r="E3" i="13" s="1"/>
  <c r="D5" i="13"/>
  <c r="E5" i="13" s="1"/>
  <c r="D2" i="13"/>
  <c r="D6" i="13"/>
  <c r="E6" i="13" s="1"/>
  <c r="K4" i="13"/>
  <c r="K8" i="13"/>
  <c r="K5" i="13"/>
  <c r="K9" i="13"/>
  <c r="H4" i="13"/>
  <c r="H5" i="13"/>
  <c r="K10" i="13"/>
  <c r="K11" i="13"/>
  <c r="H6" i="13"/>
  <c r="H2" i="13"/>
  <c r="K6" i="13"/>
  <c r="B15" i="13"/>
  <c r="H3" i="13"/>
  <c r="H7" i="13"/>
  <c r="B16" i="13"/>
  <c r="K3" i="13"/>
  <c r="K7" i="13"/>
  <c r="B17" i="13"/>
  <c r="D8" i="12"/>
  <c r="E8" i="12" s="1"/>
  <c r="D4" i="12"/>
  <c r="E4" i="12" s="1"/>
  <c r="D7" i="12"/>
  <c r="E7" i="12" s="1"/>
  <c r="D5" i="12"/>
  <c r="E5" i="12" s="1"/>
  <c r="D3" i="12"/>
  <c r="E3" i="12" s="1"/>
  <c r="D2" i="12"/>
  <c r="D6" i="12"/>
  <c r="E6" i="12" s="1"/>
  <c r="K4" i="12"/>
  <c r="K8" i="12"/>
  <c r="K5" i="12"/>
  <c r="K9" i="12"/>
  <c r="H5" i="12"/>
  <c r="K10" i="12"/>
  <c r="K11" i="12"/>
  <c r="H6" i="12"/>
  <c r="H2" i="12"/>
  <c r="K6" i="12"/>
  <c r="B15" i="12"/>
  <c r="H3" i="12"/>
  <c r="H7" i="12"/>
  <c r="B16" i="12"/>
  <c r="K3" i="12"/>
  <c r="K7" i="12"/>
  <c r="B17" i="12"/>
  <c r="H4" i="12"/>
  <c r="D8" i="11"/>
  <c r="E8" i="11" s="1"/>
  <c r="D4" i="11"/>
  <c r="E4" i="11" s="1"/>
  <c r="D7" i="11"/>
  <c r="E7" i="11" s="1"/>
  <c r="D3" i="11"/>
  <c r="E3" i="11" s="1"/>
  <c r="D2" i="11"/>
  <c r="D6" i="11"/>
  <c r="E6" i="11" s="1"/>
  <c r="D5" i="11"/>
  <c r="E5" i="11" s="1"/>
  <c r="K4" i="11"/>
  <c r="K8" i="11"/>
  <c r="H5" i="11"/>
  <c r="K5" i="11"/>
  <c r="K9" i="11"/>
  <c r="K10" i="11"/>
  <c r="K11" i="11"/>
  <c r="H6" i="11"/>
  <c r="H2" i="11"/>
  <c r="K6" i="11"/>
  <c r="H4" i="11"/>
  <c r="B15" i="11"/>
  <c r="H3" i="11"/>
  <c r="H7" i="11"/>
  <c r="B16" i="11"/>
  <c r="K3" i="11"/>
  <c r="K7" i="11"/>
  <c r="B17" i="11"/>
  <c r="D8" i="10"/>
  <c r="E8" i="10" s="1"/>
  <c r="D4" i="10"/>
  <c r="E4" i="10" s="1"/>
  <c r="D3" i="10"/>
  <c r="E3" i="10" s="1"/>
  <c r="D7" i="10"/>
  <c r="E7" i="10" s="1"/>
  <c r="D2" i="10"/>
  <c r="D6" i="10"/>
  <c r="E6" i="10" s="1"/>
  <c r="D5" i="10"/>
  <c r="E5" i="10" s="1"/>
  <c r="K4" i="10"/>
  <c r="K8" i="10"/>
  <c r="H4" i="10"/>
  <c r="H5" i="10"/>
  <c r="K5" i="10"/>
  <c r="K9" i="10"/>
  <c r="K10" i="10"/>
  <c r="K11" i="10"/>
  <c r="H6" i="10"/>
  <c r="H2" i="10"/>
  <c r="K6" i="10"/>
  <c r="B15" i="10"/>
  <c r="H3" i="10"/>
  <c r="H7" i="10"/>
  <c r="B16" i="10"/>
  <c r="K3" i="10"/>
  <c r="K7" i="10"/>
  <c r="B17" i="10"/>
  <c r="D8" i="9"/>
  <c r="E8" i="9" s="1"/>
  <c r="D4" i="9"/>
  <c r="E4" i="9" s="1"/>
  <c r="D3" i="9"/>
  <c r="E3" i="9" s="1"/>
  <c r="D7" i="9"/>
  <c r="E7" i="9" s="1"/>
  <c r="D2" i="9"/>
  <c r="D6" i="9"/>
  <c r="E6" i="9" s="1"/>
  <c r="D5" i="9"/>
  <c r="E5" i="9" s="1"/>
  <c r="K4" i="9"/>
  <c r="K8" i="9"/>
  <c r="K5" i="9"/>
  <c r="K9" i="9"/>
  <c r="H5" i="9"/>
  <c r="K10" i="9"/>
  <c r="K11" i="9"/>
  <c r="H6" i="9"/>
  <c r="H2" i="9"/>
  <c r="K6" i="9"/>
  <c r="H4" i="9"/>
  <c r="B15" i="9"/>
  <c r="H3" i="9"/>
  <c r="H7" i="9"/>
  <c r="B16" i="9"/>
  <c r="K3" i="9"/>
  <c r="K7" i="9"/>
  <c r="B17" i="9"/>
  <c r="D8" i="8"/>
  <c r="E8" i="8" s="1"/>
  <c r="D4" i="8"/>
  <c r="E4" i="8" s="1"/>
  <c r="D7" i="8"/>
  <c r="E7" i="8" s="1"/>
  <c r="D3" i="8"/>
  <c r="E3" i="8" s="1"/>
  <c r="D5" i="8"/>
  <c r="E5" i="8" s="1"/>
  <c r="D2" i="8"/>
  <c r="D6" i="8"/>
  <c r="E6" i="8" s="1"/>
  <c r="K8" i="8"/>
  <c r="H4" i="8"/>
  <c r="K5" i="8"/>
  <c r="K9" i="8"/>
  <c r="K4" i="8"/>
  <c r="H5" i="8"/>
  <c r="K10" i="8"/>
  <c r="K11" i="8"/>
  <c r="H2" i="8"/>
  <c r="K6" i="8"/>
  <c r="B15" i="8"/>
  <c r="H3" i="8"/>
  <c r="H7" i="8"/>
  <c r="B16" i="8"/>
  <c r="H6" i="8"/>
  <c r="K3" i="8"/>
  <c r="K7" i="8"/>
  <c r="B17" i="8"/>
  <c r="C9" i="6"/>
  <c r="D8" i="6"/>
  <c r="E8" i="6" s="1"/>
  <c r="D4" i="6"/>
  <c r="E4" i="6" s="1"/>
  <c r="D7" i="6"/>
  <c r="E7" i="6" s="1"/>
  <c r="D3" i="6"/>
  <c r="E3" i="6" s="1"/>
  <c r="D2" i="6"/>
  <c r="D6" i="6"/>
  <c r="E6" i="6" s="1"/>
  <c r="D5" i="6"/>
  <c r="E5" i="6" s="1"/>
  <c r="K8" i="6"/>
  <c r="H5" i="6"/>
  <c r="H4" i="6"/>
  <c r="K5" i="6"/>
  <c r="K9" i="6"/>
  <c r="K10" i="6"/>
  <c r="K11" i="6"/>
  <c r="K4" i="6"/>
  <c r="H6" i="6"/>
  <c r="H2" i="6"/>
  <c r="K6" i="6"/>
  <c r="B15" i="6"/>
  <c r="H3" i="6"/>
  <c r="H7" i="6"/>
  <c r="B16" i="6"/>
  <c r="K3" i="6"/>
  <c r="K7" i="6"/>
  <c r="B17" i="6"/>
  <c r="H7" i="4"/>
  <c r="H6" i="4"/>
  <c r="H5" i="4"/>
  <c r="H4" i="4"/>
  <c r="H3" i="4"/>
  <c r="H2" i="4"/>
  <c r="K9" i="4"/>
  <c r="K8" i="4"/>
  <c r="K7" i="4"/>
  <c r="K6" i="4"/>
  <c r="K5" i="4"/>
  <c r="K4" i="4"/>
  <c r="K2" i="4"/>
  <c r="K11" i="4"/>
  <c r="K10" i="4"/>
  <c r="B17" i="4"/>
  <c r="B16" i="4"/>
  <c r="B15" i="4"/>
  <c r="E2" i="4"/>
  <c r="D8" i="4"/>
  <c r="E8" i="4" s="1"/>
  <c r="D7" i="4"/>
  <c r="E7" i="4" s="1"/>
  <c r="D6" i="4"/>
  <c r="E6" i="4" s="1"/>
  <c r="D5" i="4"/>
  <c r="E5" i="4" s="1"/>
  <c r="D4" i="4"/>
  <c r="E4" i="4" s="1"/>
  <c r="D3" i="4"/>
  <c r="E3" i="4" s="1"/>
  <c r="C2" i="13" a="1"/>
  <c r="C2" i="9" a="1"/>
  <c r="C2" i="12" a="1"/>
  <c r="C2" i="14" a="1"/>
  <c r="C2" i="15" a="1"/>
  <c r="M18" i="21" l="1"/>
  <c r="L18" i="21"/>
  <c r="K18" i="21"/>
  <c r="J18" i="21"/>
  <c r="I18" i="21"/>
  <c r="H18" i="21"/>
  <c r="G18" i="21"/>
  <c r="F18" i="21"/>
  <c r="E18" i="21"/>
  <c r="D18" i="21"/>
  <c r="C18" i="21"/>
  <c r="D18" i="18"/>
  <c r="C18" i="18"/>
  <c r="K18" i="19"/>
  <c r="G18" i="18"/>
  <c r="K18" i="18"/>
  <c r="C11" i="18"/>
  <c r="L18" i="19"/>
  <c r="L18" i="18"/>
  <c r="I18" i="18"/>
  <c r="J18" i="19"/>
  <c r="F11" i="18"/>
  <c r="N18" i="18"/>
  <c r="F18" i="18"/>
  <c r="M11" i="18"/>
  <c r="E11" i="18"/>
  <c r="I18" i="19"/>
  <c r="D11" i="18"/>
  <c r="D21" i="18" s="1"/>
  <c r="M18" i="18"/>
  <c r="E18" i="18"/>
  <c r="L11" i="18"/>
  <c r="N18" i="19"/>
  <c r="H18" i="19"/>
  <c r="M18" i="19"/>
  <c r="K11" i="18"/>
  <c r="C18" i="19"/>
  <c r="G18" i="19"/>
  <c r="J11" i="18"/>
  <c r="N11" i="18"/>
  <c r="F18" i="19"/>
  <c r="J18" i="18"/>
  <c r="I11" i="18"/>
  <c r="E18" i="19"/>
  <c r="H11" i="18"/>
  <c r="D18" i="19"/>
  <c r="H18" i="18"/>
  <c r="G11" i="18"/>
  <c r="B18" i="17"/>
  <c r="H8" i="17"/>
  <c r="K12" i="17"/>
  <c r="D9" i="17"/>
  <c r="B18" i="16"/>
  <c r="H8" i="16"/>
  <c r="B18" i="15"/>
  <c r="K12" i="16"/>
  <c r="D9" i="16"/>
  <c r="H8" i="15"/>
  <c r="C2" i="15"/>
  <c r="K12" i="15"/>
  <c r="D9" i="15"/>
  <c r="D9" i="14"/>
  <c r="C2" i="14"/>
  <c r="K12" i="14"/>
  <c r="B18" i="14"/>
  <c r="H8" i="14"/>
  <c r="C2" i="13"/>
  <c r="B18" i="12"/>
  <c r="K12" i="13"/>
  <c r="D9" i="13"/>
  <c r="B18" i="13"/>
  <c r="H8" i="13"/>
  <c r="C2" i="12"/>
  <c r="K12" i="12"/>
  <c r="D9" i="12"/>
  <c r="H8" i="12"/>
  <c r="B18" i="11"/>
  <c r="K12" i="11"/>
  <c r="D9" i="11"/>
  <c r="H8" i="11"/>
  <c r="B18" i="10"/>
  <c r="H8" i="10"/>
  <c r="K12" i="10"/>
  <c r="D9" i="10"/>
  <c r="B18" i="9"/>
  <c r="C2" i="9"/>
  <c r="K12" i="9"/>
  <c r="D9" i="9"/>
  <c r="H8" i="9"/>
  <c r="B18" i="8"/>
  <c r="K12" i="8"/>
  <c r="D9" i="8"/>
  <c r="H8" i="8"/>
  <c r="B18" i="6"/>
  <c r="K12" i="6"/>
  <c r="E2" i="6"/>
  <c r="E9" i="6" s="1"/>
  <c r="D9" i="6"/>
  <c r="H8" i="6"/>
  <c r="H8" i="4"/>
  <c r="K12" i="4"/>
  <c r="B18" i="4"/>
  <c r="E9" i="4"/>
  <c r="D9" i="4"/>
  <c r="C21" i="18" l="1"/>
  <c r="N21" i="18"/>
  <c r="L21" i="18"/>
  <c r="K21" i="18"/>
  <c r="G21" i="18"/>
  <c r="I21" i="18"/>
  <c r="E21" i="18"/>
  <c r="M21" i="18"/>
  <c r="J21" i="18"/>
  <c r="F21" i="18"/>
  <c r="H21" i="18"/>
  <c r="E2" i="17"/>
  <c r="E9" i="17" s="1"/>
  <c r="C9" i="17"/>
  <c r="E2" i="16"/>
  <c r="E9" i="16" s="1"/>
  <c r="C9" i="16"/>
  <c r="E2" i="15"/>
  <c r="E9" i="15" s="1"/>
  <c r="C9" i="15"/>
  <c r="E2" i="14"/>
  <c r="E9" i="14" s="1"/>
  <c r="C9" i="14"/>
  <c r="E2" i="13"/>
  <c r="E9" i="13" s="1"/>
  <c r="C9" i="13"/>
  <c r="E2" i="12"/>
  <c r="E9" i="12" s="1"/>
  <c r="C9" i="12"/>
  <c r="E2" i="11"/>
  <c r="E9" i="11" s="1"/>
  <c r="C9" i="11"/>
  <c r="E2" i="10"/>
  <c r="E9" i="10" s="1"/>
  <c r="C9" i="10"/>
  <c r="E2" i="9"/>
  <c r="E9" i="9" s="1"/>
  <c r="C9" i="9"/>
  <c r="E2" i="8"/>
  <c r="E9" i="8" s="1"/>
  <c r="C9" i="8"/>
  <c r="N16" i="21"/>
  <c r="N17" i="21"/>
  <c r="N18" i="21"/>
  <c r="N14" i="21"/>
  <c r="N15" i="2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<sst xmlns="http://schemas.openxmlformats.org/spreadsheetml/2006/main" count="1634" uniqueCount="55">
  <si>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</si>
  <si>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</si>
  <si>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</si>
  <si>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</si>
  <si>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</si>
  <si>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</si>
  <si>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</si>
  <si>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</si>
  <si>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</si>
  <si>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</si>
  <si>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</si>
  <si>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</si>
  <si>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</si>
  <si>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</si>
  <si>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</si>
  <si>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</si>
  <si>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</si>
  <si>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</si>
  <si>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</si>
  <si>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</si>
  <si>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</si>
  <si>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</si>
  <si>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</si>
  <si>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</si>
  <si>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</si>
  <si>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</si>
  <si>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</si>
  <si>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</si>
  <si>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</si>
  <si>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</si>
  <si>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</si>
  <si>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</si>
  <si>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</si>
  <si>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</si>
  <si>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Opening balance</t>
  </si>
  <si>
    <t>Operation</t>
  </si>
  <si>
    <t>Closing balance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</si>
  <si>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</si>
  <si>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</si>
  <si>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</si>
  <si>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</si>
  <si>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</si>
  <si>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</si>
  <si>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</si>
  <si>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</si>
  <si>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</si>
  <si>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</si>
  <si>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</si>
  <si>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</si>
  <si>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</si>
  <si>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Expense Total</t>
  </si>
  <si>
    <t>Income Total</t>
  </si>
  <si>
    <t>Transfer Total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</si>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</sst>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\ &quot;zł&quot;;[Red]\-#,##0.00\ &quot;zł&quot;"/>
    <numFmt numFmtId="165" formatCode="_-* #,##0.00\ [$zł-415]_-;\-* #,##0.00\ [$zł-415]_-;_-* &quot;-&quot;??\ [$zł-415]_-;_-@_-"/>
  </numFmts>
  <fonts count="6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3" fillId="0" borderId="2" applyNumberFormat="0" applyFill="0" applyAlignment="0" applyProtection="0"/>
    <xf numFmtId="0" fontId="4" fillId="2" borderId="3" applyNumberFormat="0" applyAlignment="0" applyProtection="0"/>
    <xf numFmtId="0" fontId="2" fillId="3" borderId="0" applyNumberFormat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165" fontId="0" fillId="0" borderId="0" xfId="1" applyNumberFormat="1" applyFont="1"/>
    <xf numFmtId="165" fontId="0" fillId="0" borderId="0" xfId="0" applyNumberFormat="1"/>
    <xf numFmtId="0" fontId="2" fillId="3" borderId="0" xfId="4"/>
    <xf numFmtId="164" fontId="2" fillId="3" borderId="0" xfId="4" applyNumberFormat="1"/>
    <xf numFmtId="14" fontId="2" fillId="3" borderId="0" xfId="4" applyNumberFormat="1"/>
    <xf numFmtId="0" fontId="3" fillId="3" borderId="2" xfId="2" applyFill="1"/>
    <xf numFmtId="0" fontId="4" fillId="2" borderId="3" xfId="3"/>
    <xf numFmtId="165" fontId="5" fillId="0" borderId="0" xfId="0" applyNumberFormat="1" applyFont="1"/>
    <xf numFmtId="0" fontId="5" fillId="0" borderId="0" xfId="0" applyFont="1"/>
    <xf numFmtId="0" fontId="0" fillId="0" borderId="0" xfId="0" pivotButton="1"/>
    <xf numFmtId="164" fontId="0" fillId="0" borderId="0" xfId="0" applyNumberFormat="1"/>
  </cellXfs>
  <cellStyles count="5">
    <cellStyle name="40% - Accent2" xfId="4" builtinId="35"/>
    <cellStyle name="Check Cell" xfId="3" builtinId="23"/>
    <cellStyle name="Currency" xfId="1" builtinId="4"/>
    <cellStyle name="Heading 1" xfId="2" builtinId="16"/>
    <cellStyle name="Normal" xfId="0" builtinId="0"/>
  </cellStyles>
  <dxfs count="255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0" formatCode="General"/>
    </dxf>
    <dxf>
      <numFmt numFmtId="19" formatCode="m/d/yyyy"/>
    </dxf>
    <dxf>
      <numFmt numFmtId="0" formatCode="General"/>
    </dxf>
    <dxf>
      <numFmt numFmtId="164" formatCode="#,##0.00\ &quot;zł&quot;;[Red]\-#,##0.00\ &quot;zł&quot;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SetupInstall" refreshedDate="45983.591708449072" createdVersion="8" refreshedVersion="8" minRefreshableVersion="3" recordCount="206" xr:uid="{B321363B-B675-43E6-8677-E5B1D72FE243}">
  <cacheSource type="worksheet">
    <worksheetSource name="operations"/>
  </cacheSource>
  <cacheFields count="7">
    <cacheField name="Amount" numFmtId="164">
      <sharedItems containsSemiMixedTypes="0" containsString="0" containsNumber="1" minValue="-2000" maxValue="4500"/>
    </cacheField>
    <cacheField name="Bank" numFmtId="0">
      <sharedItems/>
    </cacheField>
    <cacheField name="Product" numFmtId="0">
      <sharedItems/>
    </cacheField>
    <cacheField name="Category" numFmtId="0">
      <sharedItems count="16">
        <s v="Groceries"/>
        <s v="Salary"/>
        <s v="Accomodation"/>
        <s v="Multimedia"/>
        <s v="Other incoms"/>
        <s v="Other expences"/>
        <s v="Allowance"/>
        <s v="Entertainment"/>
        <s v="Transportation"/>
        <s v="Clothing"/>
        <s v="Studies"/>
        <s v="Financial"/>
        <s v="Health&amp;Beauty"/>
        <s v="Transfer"/>
        <s v="Gift"/>
        <s v="Scholarship"/>
      </sharedItems>
    </cacheField>
    <cacheField name="Type" numFmtId="0">
      <sharedItems count="3">
        <s v="Expense"/>
        <s v="Income"/>
        <s v="Transfer"/>
      </sharedItems>
    </cacheField>
    <cacheField name="Date" numFmtId="14">
      <sharedItems containsSemiMixedTypes="0" containsNonDate="0" containsDate="1" containsString="0" minDate="2024-01-05T00:00:00" maxDate="2024-12-31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n v="-1500"/>
    <s v="Santander"/>
    <s v="Account"/>
    <x v="0"/>
    <x v="0"/>
    <d v="2024-01-05T00:00:00"/>
    <x v="0"/>
  </r>
  <r>
    <n v="4500"/>
    <s v="Santander"/>
    <s v="Account"/>
    <x v="1"/>
    <x v="1"/>
    <d v="2024-01-10T00:00:00"/>
    <x v="0"/>
  </r>
  <r>
    <n v="-2000"/>
    <s v="Santander"/>
    <s v="Account"/>
    <x v="2"/>
    <x v="0"/>
    <d v="2024-01-11T00:00:00"/>
    <x v="0"/>
  </r>
  <r>
    <n v="-45"/>
    <s v="Millennium"/>
    <s v="Account"/>
    <x v="0"/>
    <x v="0"/>
    <d v="2024-01-14T00:00:00"/>
    <x v="0"/>
  </r>
  <r>
    <n v="-150"/>
    <s v="Santander"/>
    <s v="Credit card"/>
    <x v="3"/>
    <x v="0"/>
    <d v="2024-01-15T00:00:00"/>
    <x v="0"/>
  </r>
  <r>
    <n v="-120"/>
    <s v="Santander"/>
    <s v="Account"/>
    <x v="0"/>
    <x v="0"/>
    <d v="2024-01-16T00:00:00"/>
    <x v="0"/>
  </r>
  <r>
    <n v="500"/>
    <s v="Santander"/>
    <s v="Account"/>
    <x v="4"/>
    <x v="1"/>
    <d v="2024-01-17T00:00:00"/>
    <x v="0"/>
  </r>
  <r>
    <n v="-500"/>
    <s v="Santander"/>
    <s v="Fixed-term deposit"/>
    <x v="5"/>
    <x v="0"/>
    <d v="2024-01-17T00:00:00"/>
    <x v="0"/>
  </r>
  <r>
    <n v="250"/>
    <s v="Millennium"/>
    <s v="Savings account"/>
    <x v="6"/>
    <x v="1"/>
    <d v="2024-01-17T00:00:00"/>
    <x v="0"/>
  </r>
  <r>
    <n v="-25"/>
    <s v="Santander"/>
    <s v="Credit card"/>
    <x v="7"/>
    <x v="0"/>
    <d v="2024-01-19T00:00:00"/>
    <x v="0"/>
  </r>
  <r>
    <n v="-80"/>
    <s v="Santander"/>
    <s v="Account"/>
    <x v="8"/>
    <x v="0"/>
    <d v="2024-01-20T00:00:00"/>
    <x v="0"/>
  </r>
  <r>
    <n v="150"/>
    <s v="Millennium"/>
    <s v="Account"/>
    <x v="4"/>
    <x v="1"/>
    <d v="2024-01-21T00:00:00"/>
    <x v="0"/>
  </r>
  <r>
    <n v="-80"/>
    <s v="Millennium"/>
    <s v="Account"/>
    <x v="9"/>
    <x v="0"/>
    <d v="2024-01-22T00:00:00"/>
    <x v="0"/>
  </r>
  <r>
    <n v="-60"/>
    <s v="Millennium"/>
    <s v="Account"/>
    <x v="7"/>
    <x v="0"/>
    <d v="2024-01-23T00:00:00"/>
    <x v="0"/>
  </r>
  <r>
    <n v="-100"/>
    <s v="Santander"/>
    <s v="Account"/>
    <x v="10"/>
    <x v="0"/>
    <d v="2024-01-24T00:00:00"/>
    <x v="0"/>
  </r>
  <r>
    <n v="-50"/>
    <s v="Wallet"/>
    <s v="Gift card"/>
    <x v="0"/>
    <x v="0"/>
    <d v="2024-01-25T00:00:00"/>
    <x v="0"/>
  </r>
  <r>
    <n v="150"/>
    <s v="Wallet"/>
    <s v="Money"/>
    <x v="4"/>
    <x v="1"/>
    <d v="2024-01-25T00:00:00"/>
    <x v="0"/>
  </r>
  <r>
    <n v="5.5"/>
    <s v="Millennium"/>
    <s v="Savings account"/>
    <x v="11"/>
    <x v="1"/>
    <d v="2024-01-26T00:00:00"/>
    <x v="0"/>
  </r>
  <r>
    <n v="100"/>
    <s v="Santander"/>
    <s v="Fixed-term deposit"/>
    <x v="11"/>
    <x v="1"/>
    <d v="2024-01-27T00:00:00"/>
    <x v="0"/>
  </r>
  <r>
    <n v="-100"/>
    <s v="Santander"/>
    <s v="Account"/>
    <x v="12"/>
    <x v="0"/>
    <d v="2024-01-28T00:00:00"/>
    <x v="0"/>
  </r>
  <r>
    <n v="200"/>
    <s v="Millennium"/>
    <s v="Account"/>
    <x v="4"/>
    <x v="1"/>
    <d v="2024-02-02T00:00:00"/>
    <x v="1"/>
  </r>
  <r>
    <n v="-15"/>
    <s v="Millennium"/>
    <s v="Account"/>
    <x v="5"/>
    <x v="0"/>
    <d v="2024-02-04T00:00:00"/>
    <x v="1"/>
  </r>
  <r>
    <n v="-5.5"/>
    <s v="Santander"/>
    <s v="Account"/>
    <x v="0"/>
    <x v="0"/>
    <d v="2024-02-06T00:00:00"/>
    <x v="1"/>
  </r>
  <r>
    <n v="4500"/>
    <s v="Santander"/>
    <s v="Account"/>
    <x v="1"/>
    <x v="1"/>
    <d v="2024-02-10T00:00:00"/>
    <x v="1"/>
  </r>
  <r>
    <n v="-2000"/>
    <s v="Santander"/>
    <s v="Account"/>
    <x v="2"/>
    <x v="0"/>
    <d v="2024-02-11T00:00:00"/>
    <x v="1"/>
  </r>
  <r>
    <n v="-150"/>
    <s v="Santander"/>
    <s v="Account"/>
    <x v="7"/>
    <x v="0"/>
    <d v="2024-02-13T00:00:00"/>
    <x v="1"/>
  </r>
  <r>
    <n v="500"/>
    <s v="Santander"/>
    <s v="Account"/>
    <x v="4"/>
    <x v="1"/>
    <d v="2024-02-14T00:00:00"/>
    <x v="1"/>
  </r>
  <r>
    <n v="-300"/>
    <s v="Santander"/>
    <s v="Account"/>
    <x v="0"/>
    <x v="0"/>
    <d v="2024-02-14T00:00:00"/>
    <x v="1"/>
  </r>
  <r>
    <n v="-500"/>
    <s v="Santander"/>
    <s v="Fixed-term deposit"/>
    <x v="5"/>
    <x v="0"/>
    <d v="2024-02-14T00:00:00"/>
    <x v="1"/>
  </r>
  <r>
    <n v="-200"/>
    <s v="Wallet"/>
    <s v="Money"/>
    <x v="5"/>
    <x v="0"/>
    <d v="2024-02-14T00:00:00"/>
    <x v="1"/>
  </r>
  <r>
    <n v="175"/>
    <s v="Santander"/>
    <s v="Credit card"/>
    <x v="13"/>
    <x v="2"/>
    <d v="2024-02-15T00:00:00"/>
    <x v="1"/>
  </r>
  <r>
    <n v="-175"/>
    <s v="Santander"/>
    <s v="Account"/>
    <x v="13"/>
    <x v="2"/>
    <d v="2024-02-15T00:00:00"/>
    <x v="1"/>
  </r>
  <r>
    <n v="-100"/>
    <s v="Santander"/>
    <s v="Account"/>
    <x v="10"/>
    <x v="0"/>
    <d v="2024-02-17T00:00:00"/>
    <x v="1"/>
  </r>
  <r>
    <n v="-80"/>
    <s v="Santander"/>
    <s v="Account"/>
    <x v="8"/>
    <x v="0"/>
    <d v="2024-02-20T00:00:00"/>
    <x v="1"/>
  </r>
  <r>
    <n v="150"/>
    <s v="Wallet"/>
    <s v="Money"/>
    <x v="4"/>
    <x v="1"/>
    <d v="2024-02-22T00:00:00"/>
    <x v="1"/>
  </r>
  <r>
    <n v="100"/>
    <s v="Wallet"/>
    <s v="Gift card"/>
    <x v="4"/>
    <x v="1"/>
    <d v="2024-02-23T00:00:00"/>
    <x v="1"/>
  </r>
  <r>
    <n v="-200"/>
    <s v="Wallet"/>
    <s v="Money"/>
    <x v="7"/>
    <x v="0"/>
    <d v="2024-02-24T00:00:00"/>
    <x v="1"/>
  </r>
  <r>
    <n v="1000"/>
    <s v="Wallet"/>
    <s v="Money"/>
    <x v="4"/>
    <x v="1"/>
    <d v="2024-02-25T00:00:00"/>
    <x v="1"/>
  </r>
  <r>
    <n v="-250"/>
    <s v="Wallet"/>
    <s v="Money"/>
    <x v="12"/>
    <x v="0"/>
    <d v="2024-02-25T00:00:00"/>
    <x v="1"/>
  </r>
  <r>
    <n v="-100"/>
    <s v="Millennium"/>
    <s v="Account"/>
    <x v="0"/>
    <x v="0"/>
    <d v="2024-02-26T00:00:00"/>
    <x v="1"/>
  </r>
  <r>
    <n v="-50"/>
    <s v="Millennium"/>
    <s v="Account"/>
    <x v="5"/>
    <x v="0"/>
    <d v="2024-02-26T00:00:00"/>
    <x v="1"/>
  </r>
  <r>
    <n v="15"/>
    <s v="Millennium"/>
    <s v="Savings account"/>
    <x v="11"/>
    <x v="1"/>
    <d v="2024-02-27T00:00:00"/>
    <x v="1"/>
  </r>
  <r>
    <n v="-150"/>
    <s v="Santander"/>
    <s v="Account"/>
    <x v="3"/>
    <x v="0"/>
    <d v="2024-02-28T00:00:00"/>
    <x v="1"/>
  </r>
  <r>
    <n v="100"/>
    <s v="Santander"/>
    <s v="Fixed-term deposit"/>
    <x v="11"/>
    <x v="1"/>
    <d v="2024-02-28T00:00:00"/>
    <x v="1"/>
  </r>
  <r>
    <n v="-25"/>
    <s v="Santander"/>
    <s v="Credit card"/>
    <x v="0"/>
    <x v="0"/>
    <d v="2024-03-01T00:00:00"/>
    <x v="2"/>
  </r>
  <r>
    <n v="-135.5"/>
    <s v="Santander"/>
    <s v="Account"/>
    <x v="0"/>
    <x v="0"/>
    <d v="2024-03-02T00:00:00"/>
    <x v="2"/>
  </r>
  <r>
    <n v="-82.5"/>
    <s v="Millennium"/>
    <s v="Account"/>
    <x v="8"/>
    <x v="0"/>
    <d v="2024-03-02T00:00:00"/>
    <x v="2"/>
  </r>
  <r>
    <n v="-200"/>
    <s v="Santander"/>
    <s v="Account"/>
    <x v="7"/>
    <x v="0"/>
    <d v="2024-03-04T00:00:00"/>
    <x v="2"/>
  </r>
  <r>
    <n v="150"/>
    <s v="Millennium"/>
    <s v="Account"/>
    <x v="11"/>
    <x v="1"/>
    <d v="2024-03-06T00:00:00"/>
    <x v="2"/>
  </r>
  <r>
    <n v="-24.49"/>
    <s v="Wallet"/>
    <s v="Gift card"/>
    <x v="0"/>
    <x v="0"/>
    <d v="2024-03-08T00:00:00"/>
    <x v="2"/>
  </r>
  <r>
    <n v="4500"/>
    <s v="Santander"/>
    <s v="Account"/>
    <x v="1"/>
    <x v="1"/>
    <d v="2024-03-10T00:00:00"/>
    <x v="2"/>
  </r>
  <r>
    <n v="-2000"/>
    <s v="Santander"/>
    <s v="Account"/>
    <x v="2"/>
    <x v="0"/>
    <d v="2024-03-11T00:00:00"/>
    <x v="2"/>
  </r>
  <r>
    <n v="-200"/>
    <s v="Santander"/>
    <s v="Account"/>
    <x v="0"/>
    <x v="0"/>
    <d v="2024-03-12T00:00:00"/>
    <x v="2"/>
  </r>
  <r>
    <n v="-469.9"/>
    <s v="Santander"/>
    <s v="Account"/>
    <x v="9"/>
    <x v="0"/>
    <d v="2024-03-13T00:00:00"/>
    <x v="2"/>
  </r>
  <r>
    <n v="-9.5"/>
    <s v="Wallet"/>
    <s v="Money"/>
    <x v="12"/>
    <x v="0"/>
    <d v="2024-03-17T00:00:00"/>
    <x v="2"/>
  </r>
  <r>
    <n v="-23"/>
    <s v="Santander"/>
    <s v="Account"/>
    <x v="3"/>
    <x v="0"/>
    <d v="2024-03-20T00:00:00"/>
    <x v="2"/>
  </r>
  <r>
    <n v="-150"/>
    <s v="Santander"/>
    <s v="Account"/>
    <x v="0"/>
    <x v="0"/>
    <d v="2024-03-22T00:00:00"/>
    <x v="2"/>
  </r>
  <r>
    <n v="-300"/>
    <s v="Santander"/>
    <s v="Account"/>
    <x v="5"/>
    <x v="0"/>
    <d v="2024-03-24T00:00:00"/>
    <x v="2"/>
  </r>
  <r>
    <n v="5"/>
    <s v="Millennium"/>
    <s v="Savings account"/>
    <x v="14"/>
    <x v="1"/>
    <d v="2024-03-26T00:00:00"/>
    <x v="2"/>
  </r>
  <r>
    <n v="-79.5"/>
    <s v="Santander"/>
    <s v="Credit card"/>
    <x v="10"/>
    <x v="0"/>
    <d v="2024-03-28T00:00:00"/>
    <x v="2"/>
  </r>
  <r>
    <n v="-200"/>
    <s v="Santander"/>
    <s v="Account"/>
    <x v="0"/>
    <x v="0"/>
    <d v="2024-03-30T00:00:00"/>
    <x v="2"/>
  </r>
  <r>
    <n v="-23.5"/>
    <s v="Santander"/>
    <s v="Credit card"/>
    <x v="12"/>
    <x v="0"/>
    <d v="2024-04-01T00:00:00"/>
    <x v="3"/>
  </r>
  <r>
    <n v="-82.5"/>
    <s v="Santander"/>
    <s v="Account"/>
    <x v="8"/>
    <x v="0"/>
    <d v="2024-04-02T00:00:00"/>
    <x v="3"/>
  </r>
  <r>
    <n v="150"/>
    <s v="Millennium"/>
    <s v="Account"/>
    <x v="11"/>
    <x v="1"/>
    <d v="2024-04-06T00:00:00"/>
    <x v="3"/>
  </r>
  <r>
    <n v="-99.97"/>
    <s v="Santander"/>
    <s v="Account"/>
    <x v="0"/>
    <x v="0"/>
    <d v="2024-04-07T00:00:00"/>
    <x v="3"/>
  </r>
  <r>
    <n v="4500"/>
    <s v="Santander"/>
    <s v="Account"/>
    <x v="1"/>
    <x v="1"/>
    <d v="2024-04-10T00:00:00"/>
    <x v="3"/>
  </r>
  <r>
    <n v="-2000"/>
    <s v="Santander"/>
    <s v="Account"/>
    <x v="2"/>
    <x v="0"/>
    <d v="2024-04-11T00:00:00"/>
    <x v="3"/>
  </r>
  <r>
    <n v="-149"/>
    <s v="Santander"/>
    <s v="Account"/>
    <x v="9"/>
    <x v="0"/>
    <d v="2024-04-13T00:00:00"/>
    <x v="3"/>
  </r>
  <r>
    <n v="104.5"/>
    <s v="Santander"/>
    <s v="Credit card"/>
    <x v="13"/>
    <x v="2"/>
    <d v="2024-04-15T00:00:00"/>
    <x v="3"/>
  </r>
  <r>
    <n v="-104.5"/>
    <s v="Santander"/>
    <s v="Account"/>
    <x v="13"/>
    <x v="2"/>
    <d v="2024-04-15T00:00:00"/>
    <x v="3"/>
  </r>
  <r>
    <n v="-49"/>
    <s v="Millennium"/>
    <s v="Account"/>
    <x v="3"/>
    <x v="0"/>
    <d v="2024-04-15T00:00:00"/>
    <x v="3"/>
  </r>
  <r>
    <n v="-9.99"/>
    <s v="Santander"/>
    <s v="Credit card"/>
    <x v="0"/>
    <x v="0"/>
    <d v="2024-04-16T00:00:00"/>
    <x v="3"/>
  </r>
  <r>
    <n v="-100"/>
    <s v="Santander"/>
    <s v="Account"/>
    <x v="5"/>
    <x v="0"/>
    <d v="2024-04-17T00:00:00"/>
    <x v="3"/>
  </r>
  <r>
    <n v="-57.9"/>
    <s v="Santander"/>
    <s v="Credit card"/>
    <x v="7"/>
    <x v="0"/>
    <d v="2024-04-19T00:00:00"/>
    <x v="3"/>
  </r>
  <r>
    <n v="-159.9"/>
    <s v="Santander"/>
    <s v="Account"/>
    <x v="0"/>
    <x v="0"/>
    <d v="2024-04-21T00:00:00"/>
    <x v="3"/>
  </r>
  <r>
    <n v="-1000"/>
    <s v="Santander"/>
    <s v="Account"/>
    <x v="7"/>
    <x v="0"/>
    <d v="2024-04-23T00:00:00"/>
    <x v="3"/>
  </r>
  <r>
    <n v="50"/>
    <s v="Millennium"/>
    <s v="Savings account"/>
    <x v="14"/>
    <x v="1"/>
    <d v="2024-04-25T00:00:00"/>
    <x v="3"/>
  </r>
  <r>
    <n v="-69.900000000000006"/>
    <s v="Santander"/>
    <s v="Account"/>
    <x v="0"/>
    <x v="0"/>
    <d v="2024-04-27T00:00:00"/>
    <x v="3"/>
  </r>
  <r>
    <n v="-32.5"/>
    <s v="Santander"/>
    <s v="Account"/>
    <x v="0"/>
    <x v="0"/>
    <d v="2024-04-28T00:00:00"/>
    <x v="3"/>
  </r>
  <r>
    <n v="-139"/>
    <s v="Santander"/>
    <s v="Account"/>
    <x v="10"/>
    <x v="0"/>
    <d v="2024-04-29T00:00:00"/>
    <x v="3"/>
  </r>
  <r>
    <n v="-250"/>
    <s v="Santander"/>
    <s v="Credit card"/>
    <x v="0"/>
    <x v="0"/>
    <d v="2024-05-07T00:00:00"/>
    <x v="4"/>
  </r>
  <r>
    <n v="-80"/>
    <s v="Santander"/>
    <s v="Account"/>
    <x v="8"/>
    <x v="0"/>
    <d v="2024-05-10T00:00:00"/>
    <x v="4"/>
  </r>
  <r>
    <n v="4500"/>
    <s v="Santander"/>
    <s v="Account"/>
    <x v="1"/>
    <x v="1"/>
    <d v="2024-05-10T00:00:00"/>
    <x v="4"/>
  </r>
  <r>
    <n v="-2000"/>
    <s v="Santander"/>
    <s v="Account"/>
    <x v="2"/>
    <x v="0"/>
    <d v="2024-05-11T00:00:00"/>
    <x v="4"/>
  </r>
  <r>
    <n v="-250"/>
    <s v="Santander"/>
    <s v="Credit card"/>
    <x v="0"/>
    <x v="0"/>
    <d v="2024-05-14T00:00:00"/>
    <x v="4"/>
  </r>
  <r>
    <n v="91.39"/>
    <s v="Santander"/>
    <s v="Credit card"/>
    <x v="13"/>
    <x v="2"/>
    <d v="2024-05-15T00:00:00"/>
    <x v="4"/>
  </r>
  <r>
    <n v="-91.39"/>
    <s v="Santander"/>
    <s v="Account"/>
    <x v="13"/>
    <x v="2"/>
    <d v="2024-05-15T00:00:00"/>
    <x v="4"/>
  </r>
  <r>
    <n v="-250"/>
    <s v="Santander"/>
    <s v="Credit card"/>
    <x v="0"/>
    <x v="0"/>
    <d v="2024-05-21T00:00:00"/>
    <x v="4"/>
  </r>
  <r>
    <n v="-250"/>
    <s v="Santander"/>
    <s v="Credit card"/>
    <x v="0"/>
    <x v="0"/>
    <d v="2024-05-28T00:00:00"/>
    <x v="4"/>
  </r>
  <r>
    <n v="-50"/>
    <s v="Millennium"/>
    <s v="Account"/>
    <x v="3"/>
    <x v="0"/>
    <d v="2024-05-29T00:00:00"/>
    <x v="4"/>
  </r>
  <r>
    <n v="-80"/>
    <s v="Wallet"/>
    <s v="Money"/>
    <x v="7"/>
    <x v="0"/>
    <d v="2024-05-30T00:00:00"/>
    <x v="4"/>
  </r>
  <r>
    <n v="-250"/>
    <s v="Santander"/>
    <s v="Credit card"/>
    <x v="0"/>
    <x v="0"/>
    <d v="2024-06-07T00:00:00"/>
    <x v="5"/>
  </r>
  <r>
    <n v="-80"/>
    <s v="Santander"/>
    <s v="Account"/>
    <x v="8"/>
    <x v="0"/>
    <d v="2024-06-10T00:00:00"/>
    <x v="5"/>
  </r>
  <r>
    <n v="4500"/>
    <s v="Santander"/>
    <s v="Account"/>
    <x v="1"/>
    <x v="1"/>
    <d v="2024-06-10T00:00:00"/>
    <x v="5"/>
  </r>
  <r>
    <n v="-2000"/>
    <s v="Santander"/>
    <s v="Account"/>
    <x v="2"/>
    <x v="0"/>
    <d v="2024-06-11T00:00:00"/>
    <x v="5"/>
  </r>
  <r>
    <n v="-250"/>
    <s v="Santander"/>
    <s v="Credit card"/>
    <x v="0"/>
    <x v="0"/>
    <d v="2024-06-14T00:00:00"/>
    <x v="5"/>
  </r>
  <r>
    <n v="1000"/>
    <s v="Santander"/>
    <s v="Credit card"/>
    <x v="13"/>
    <x v="2"/>
    <d v="2024-06-15T00:00:00"/>
    <x v="5"/>
  </r>
  <r>
    <n v="-1000"/>
    <s v="Santander"/>
    <s v="Account"/>
    <x v="13"/>
    <x v="2"/>
    <d v="2024-06-15T00:00:00"/>
    <x v="5"/>
  </r>
  <r>
    <n v="-100"/>
    <s v="Millennium"/>
    <s v="Account"/>
    <x v="12"/>
    <x v="0"/>
    <d v="2024-06-15T00:00:00"/>
    <x v="5"/>
  </r>
  <r>
    <n v="-250"/>
    <s v="Santander"/>
    <s v="Credit card"/>
    <x v="0"/>
    <x v="0"/>
    <d v="2024-06-21T00:00:00"/>
    <x v="5"/>
  </r>
  <r>
    <n v="-250"/>
    <s v="Santander"/>
    <s v="Credit card"/>
    <x v="0"/>
    <x v="0"/>
    <d v="2024-06-28T00:00:00"/>
    <x v="5"/>
  </r>
  <r>
    <n v="-300"/>
    <s v="Santander"/>
    <s v="Credit card"/>
    <x v="9"/>
    <x v="0"/>
    <d v="2024-06-28T00:00:00"/>
    <x v="5"/>
  </r>
  <r>
    <n v="-50"/>
    <s v="Millennium"/>
    <s v="Account"/>
    <x v="3"/>
    <x v="0"/>
    <d v="2024-06-29T00:00:00"/>
    <x v="5"/>
  </r>
  <r>
    <n v="400"/>
    <s v="Millennium"/>
    <s v="Account"/>
    <x v="6"/>
    <x v="1"/>
    <d v="2024-06-29T00:00:00"/>
    <x v="5"/>
  </r>
  <r>
    <n v="-200"/>
    <s v="Wallet"/>
    <s v="Money"/>
    <x v="7"/>
    <x v="0"/>
    <d v="2024-06-30T00:00:00"/>
    <x v="5"/>
  </r>
  <r>
    <n v="-30"/>
    <s v="Wallet"/>
    <s v="Gift card"/>
    <x v="0"/>
    <x v="0"/>
    <d v="2024-07-03T00:00:00"/>
    <x v="6"/>
  </r>
  <r>
    <n v="-100"/>
    <s v="Santander"/>
    <s v="Account"/>
    <x v="7"/>
    <x v="0"/>
    <d v="2024-07-07T00:00:00"/>
    <x v="6"/>
  </r>
  <r>
    <n v="4500"/>
    <s v="Santander"/>
    <s v="Account"/>
    <x v="1"/>
    <x v="1"/>
    <d v="2024-07-10T00:00:00"/>
    <x v="6"/>
  </r>
  <r>
    <n v="-2000"/>
    <s v="Santander"/>
    <s v="Account"/>
    <x v="2"/>
    <x v="0"/>
    <d v="2024-07-11T00:00:00"/>
    <x v="6"/>
  </r>
  <r>
    <n v="-40"/>
    <s v="Santander"/>
    <s v="Credit card"/>
    <x v="0"/>
    <x v="0"/>
    <d v="2024-07-14T00:00:00"/>
    <x v="6"/>
  </r>
  <r>
    <n v="1300"/>
    <s v="Santander"/>
    <s v="Credit card"/>
    <x v="13"/>
    <x v="2"/>
    <d v="2024-07-15T00:00:00"/>
    <x v="6"/>
  </r>
  <r>
    <n v="-1300"/>
    <s v="Santander"/>
    <s v="Account"/>
    <x v="13"/>
    <x v="2"/>
    <d v="2024-07-15T00:00:00"/>
    <x v="6"/>
  </r>
  <r>
    <n v="-300"/>
    <s v="Santander"/>
    <s v="Fixed-term deposit"/>
    <x v="12"/>
    <x v="0"/>
    <d v="2024-07-16T00:00:00"/>
    <x v="6"/>
  </r>
  <r>
    <n v="800"/>
    <s v="Millennium"/>
    <s v="Savings account"/>
    <x v="14"/>
    <x v="1"/>
    <d v="2024-07-18T00:00:00"/>
    <x v="6"/>
  </r>
  <r>
    <n v="-600"/>
    <s v="Millennium"/>
    <s v="Account"/>
    <x v="7"/>
    <x v="0"/>
    <d v="2024-07-21T00:00:00"/>
    <x v="6"/>
  </r>
  <r>
    <n v="120"/>
    <s v="Santander"/>
    <s v="Fixed-term deposit"/>
    <x v="11"/>
    <x v="1"/>
    <d v="2024-07-22T00:00:00"/>
    <x v="6"/>
  </r>
  <r>
    <n v="-90"/>
    <s v="Santander"/>
    <s v="Account"/>
    <x v="8"/>
    <x v="0"/>
    <d v="2024-07-24T00:00:00"/>
    <x v="6"/>
  </r>
  <r>
    <n v="-50"/>
    <s v="Santander"/>
    <s v="Credit card"/>
    <x v="0"/>
    <x v="0"/>
    <d v="2024-07-26T00:00:00"/>
    <x v="6"/>
  </r>
  <r>
    <n v="250"/>
    <s v="Millennium"/>
    <s v="Savings account"/>
    <x v="9"/>
    <x v="0"/>
    <d v="2024-07-29T00:00:00"/>
    <x v="6"/>
  </r>
  <r>
    <n v="500"/>
    <s v="Millennium"/>
    <s v="Account"/>
    <x v="15"/>
    <x v="1"/>
    <d v="2024-07-30T00:00:00"/>
    <x v="6"/>
  </r>
  <r>
    <n v="-45"/>
    <s v="Santander"/>
    <s v="Credit card"/>
    <x v="0"/>
    <x v="0"/>
    <d v="2024-07-31T00:00:00"/>
    <x v="6"/>
  </r>
  <r>
    <n v="-600"/>
    <s v="Santander"/>
    <s v="Account"/>
    <x v="0"/>
    <x v="0"/>
    <d v="2024-08-01T00:00:00"/>
    <x v="7"/>
  </r>
  <r>
    <n v="-1020"/>
    <s v="Santander"/>
    <s v="Fixed-term deposit"/>
    <x v="13"/>
    <x v="2"/>
    <d v="2024-08-01T00:00:00"/>
    <x v="7"/>
  </r>
  <r>
    <n v="-200"/>
    <s v="Millennium"/>
    <s v="Account"/>
    <x v="8"/>
    <x v="0"/>
    <d v="2024-08-01T00:00:00"/>
    <x v="7"/>
  </r>
  <r>
    <n v="-70"/>
    <s v="Santander"/>
    <s v="Credit card"/>
    <x v="0"/>
    <x v="0"/>
    <d v="2024-08-09T00:00:00"/>
    <x v="7"/>
  </r>
  <r>
    <n v="4500"/>
    <s v="Santander"/>
    <s v="Account"/>
    <x v="1"/>
    <x v="1"/>
    <d v="2024-08-10T00:00:00"/>
    <x v="7"/>
  </r>
  <r>
    <n v="-2000"/>
    <s v="Santander"/>
    <s v="Account"/>
    <x v="2"/>
    <x v="0"/>
    <d v="2024-08-11T00:00:00"/>
    <x v="7"/>
  </r>
  <r>
    <n v="-100"/>
    <s v="Millennium"/>
    <s v="Account"/>
    <x v="7"/>
    <x v="0"/>
    <d v="2024-08-14T00:00:00"/>
    <x v="7"/>
  </r>
  <r>
    <n v="135"/>
    <s v="Santander"/>
    <s v="Credit card"/>
    <x v="13"/>
    <x v="2"/>
    <d v="2024-08-15T00:00:00"/>
    <x v="7"/>
  </r>
  <r>
    <n v="-135"/>
    <s v="Santander"/>
    <s v="Account"/>
    <x v="13"/>
    <x v="2"/>
    <d v="2024-08-15T00:00:00"/>
    <x v="7"/>
  </r>
  <r>
    <n v="-400"/>
    <s v="Santander"/>
    <s v="Account"/>
    <x v="12"/>
    <x v="0"/>
    <d v="2024-08-16T00:00:00"/>
    <x v="7"/>
  </r>
  <r>
    <n v="-32"/>
    <s v="Santander"/>
    <s v="Credit card"/>
    <x v="0"/>
    <x v="0"/>
    <d v="2024-08-18T00:00:00"/>
    <x v="7"/>
  </r>
  <r>
    <n v="200"/>
    <s v="Wallet"/>
    <s v="Money"/>
    <x v="14"/>
    <x v="1"/>
    <d v="2024-08-20T00:00:00"/>
    <x v="7"/>
  </r>
  <r>
    <n v="-150"/>
    <s v="Wallet"/>
    <s v="Money"/>
    <x v="7"/>
    <x v="0"/>
    <d v="2024-08-22T00:00:00"/>
    <x v="7"/>
  </r>
  <r>
    <n v="-47.5"/>
    <s v="Wallet"/>
    <s v="Money"/>
    <x v="0"/>
    <x v="0"/>
    <d v="2024-08-23T00:00:00"/>
    <x v="7"/>
  </r>
  <r>
    <n v="-90"/>
    <s v="Santander"/>
    <s v="Account"/>
    <x v="8"/>
    <x v="0"/>
    <d v="2024-08-24T00:00:00"/>
    <x v="7"/>
  </r>
  <r>
    <n v="-300"/>
    <s v="Millennium"/>
    <s v="Savings account"/>
    <x v="9"/>
    <x v="0"/>
    <d v="2024-08-27T00:00:00"/>
    <x v="7"/>
  </r>
  <r>
    <n v="500"/>
    <s v="Millennium"/>
    <s v="Account"/>
    <x v="15"/>
    <x v="1"/>
    <d v="2024-08-30T00:00:00"/>
    <x v="7"/>
  </r>
  <r>
    <n v="200"/>
    <s v="Santander"/>
    <s v="Account"/>
    <x v="14"/>
    <x v="1"/>
    <d v="2024-08-31T00:00:00"/>
    <x v="7"/>
  </r>
  <r>
    <n v="-150"/>
    <s v="Santander"/>
    <s v="Account"/>
    <x v="8"/>
    <x v="0"/>
    <d v="2024-09-01T00:00:00"/>
    <x v="8"/>
  </r>
  <r>
    <n v="-20"/>
    <s v="Millennium"/>
    <s v="Account"/>
    <x v="0"/>
    <x v="0"/>
    <d v="2024-09-04T00:00:00"/>
    <x v="8"/>
  </r>
  <r>
    <n v="-40"/>
    <s v="Santander"/>
    <s v="Account"/>
    <x v="3"/>
    <x v="0"/>
    <d v="2024-09-07T00:00:00"/>
    <x v="8"/>
  </r>
  <r>
    <n v="-500"/>
    <s v="Santander"/>
    <s v="Account"/>
    <x v="0"/>
    <x v="0"/>
    <d v="2024-09-08T00:00:00"/>
    <x v="8"/>
  </r>
  <r>
    <n v="4500"/>
    <s v="Santander"/>
    <s v="Account"/>
    <x v="1"/>
    <x v="1"/>
    <d v="2024-09-10T00:00:00"/>
    <x v="8"/>
  </r>
  <r>
    <n v="-20"/>
    <s v="Santander"/>
    <s v="Credit card"/>
    <x v="7"/>
    <x v="0"/>
    <d v="2024-09-11T00:00:00"/>
    <x v="8"/>
  </r>
  <r>
    <n v="-2000"/>
    <s v="Santander"/>
    <s v="Account"/>
    <x v="2"/>
    <x v="0"/>
    <d v="2024-09-11T00:00:00"/>
    <x v="8"/>
  </r>
  <r>
    <n v="102"/>
    <s v="Santander"/>
    <s v="Credit card"/>
    <x v="13"/>
    <x v="2"/>
    <d v="2024-09-15T00:00:00"/>
    <x v="8"/>
  </r>
  <r>
    <n v="-102"/>
    <s v="Santander"/>
    <s v="Account"/>
    <x v="13"/>
    <x v="2"/>
    <d v="2024-09-15T00:00:00"/>
    <x v="8"/>
  </r>
  <r>
    <n v="-18.5"/>
    <s v="Santander"/>
    <s v="Account"/>
    <x v="0"/>
    <x v="0"/>
    <d v="2024-09-18T00:00:00"/>
    <x v="8"/>
  </r>
  <r>
    <n v="-150"/>
    <s v="Santander"/>
    <s v="Account"/>
    <x v="8"/>
    <x v="0"/>
    <d v="2024-10-01T00:00:00"/>
    <x v="9"/>
  </r>
  <r>
    <n v="-40"/>
    <s v="Santander"/>
    <s v="Account"/>
    <x v="3"/>
    <x v="0"/>
    <d v="2024-10-07T00:00:00"/>
    <x v="9"/>
  </r>
  <r>
    <n v="-600"/>
    <s v="Santander"/>
    <s v="Account"/>
    <x v="0"/>
    <x v="0"/>
    <d v="2024-10-08T00:00:00"/>
    <x v="9"/>
  </r>
  <r>
    <n v="4500"/>
    <s v="Santander"/>
    <s v="Account"/>
    <x v="1"/>
    <x v="1"/>
    <d v="2024-10-10T00:00:00"/>
    <x v="9"/>
  </r>
  <r>
    <n v="-40"/>
    <s v="Santander"/>
    <s v="Credit card"/>
    <x v="7"/>
    <x v="0"/>
    <d v="2024-10-11T00:00:00"/>
    <x v="9"/>
  </r>
  <r>
    <n v="-2000"/>
    <s v="Santander"/>
    <s v="Account"/>
    <x v="2"/>
    <x v="0"/>
    <d v="2024-10-11T00:00:00"/>
    <x v="9"/>
  </r>
  <r>
    <n v="20"/>
    <s v="Santander"/>
    <s v="Credit card"/>
    <x v="13"/>
    <x v="2"/>
    <d v="2024-10-15T00:00:00"/>
    <x v="9"/>
  </r>
  <r>
    <n v="-20"/>
    <s v="Santander"/>
    <s v="Account"/>
    <x v="13"/>
    <x v="2"/>
    <d v="2024-10-15T00:00:00"/>
    <x v="9"/>
  </r>
  <r>
    <n v="4500"/>
    <s v="Santander"/>
    <s v="Account"/>
    <x v="1"/>
    <x v="1"/>
    <d v="2024-11-10T00:00:00"/>
    <x v="10"/>
  </r>
  <r>
    <n v="-2000"/>
    <s v="Santander"/>
    <s v="Account"/>
    <x v="2"/>
    <x v="0"/>
    <d v="2024-11-11T00:00:00"/>
    <x v="10"/>
  </r>
  <r>
    <n v="-82"/>
    <s v="Santander"/>
    <s v="Account"/>
    <x v="8"/>
    <x v="0"/>
    <d v="2024-11-11T00:00:00"/>
    <x v="10"/>
  </r>
  <r>
    <n v="-200"/>
    <s v="Santander"/>
    <s v="Account"/>
    <x v="0"/>
    <x v="0"/>
    <d v="2024-11-11T00:00:00"/>
    <x v="10"/>
  </r>
  <r>
    <n v="-12"/>
    <s v="Santander"/>
    <s v="Account"/>
    <x v="3"/>
    <x v="0"/>
    <d v="2024-11-12T00:00:00"/>
    <x v="10"/>
  </r>
  <r>
    <n v="-90"/>
    <s v="Santander"/>
    <s v="Account"/>
    <x v="7"/>
    <x v="0"/>
    <d v="2024-11-14T00:00:00"/>
    <x v="10"/>
  </r>
  <r>
    <n v="40"/>
    <s v="Santander"/>
    <s v="Credit card"/>
    <x v="13"/>
    <x v="2"/>
    <d v="2024-11-15T00:00:00"/>
    <x v="10"/>
  </r>
  <r>
    <n v="-40"/>
    <s v="Santander"/>
    <s v="Account"/>
    <x v="13"/>
    <x v="2"/>
    <d v="2024-11-15T00:00:00"/>
    <x v="10"/>
  </r>
  <r>
    <n v="-28"/>
    <s v="Santander"/>
    <s v="Account"/>
    <x v="0"/>
    <x v="0"/>
    <d v="2024-11-16T00:00:00"/>
    <x v="10"/>
  </r>
  <r>
    <n v="-63"/>
    <s v="Santander"/>
    <s v="Account"/>
    <x v="12"/>
    <x v="0"/>
    <d v="2024-11-17T00:00:00"/>
    <x v="10"/>
  </r>
  <r>
    <n v="-15"/>
    <s v="Santander"/>
    <s v="Account"/>
    <x v="8"/>
    <x v="0"/>
    <d v="2024-11-17T00:00:00"/>
    <x v="10"/>
  </r>
  <r>
    <n v="-44"/>
    <s v="Santander"/>
    <s v="Account"/>
    <x v="0"/>
    <x v="0"/>
    <d v="2024-11-19T00:00:00"/>
    <x v="10"/>
  </r>
  <r>
    <n v="-107"/>
    <s v="Santander"/>
    <s v="Account"/>
    <x v="9"/>
    <x v="0"/>
    <d v="2024-11-20T00:00:00"/>
    <x v="10"/>
  </r>
  <r>
    <n v="-169"/>
    <s v="Santander"/>
    <s v="Account"/>
    <x v="5"/>
    <x v="0"/>
    <d v="2024-11-21T00:00:00"/>
    <x v="10"/>
  </r>
  <r>
    <n v="-51"/>
    <s v="Santander"/>
    <s v="Account"/>
    <x v="9"/>
    <x v="0"/>
    <d v="2024-11-22T00:00:00"/>
    <x v="10"/>
  </r>
  <r>
    <n v="-80"/>
    <s v="Santander"/>
    <s v="Account"/>
    <x v="0"/>
    <x v="0"/>
    <d v="2024-11-22T00:00:00"/>
    <x v="10"/>
  </r>
  <r>
    <n v="-70"/>
    <s v="Santander"/>
    <s v="Account"/>
    <x v="12"/>
    <x v="0"/>
    <d v="2024-11-22T00:00:00"/>
    <x v="10"/>
  </r>
  <r>
    <n v="-35"/>
    <s v="Santander"/>
    <s v="Account"/>
    <x v="3"/>
    <x v="0"/>
    <d v="2024-11-23T00:00:00"/>
    <x v="10"/>
  </r>
  <r>
    <n v="-11"/>
    <s v="Santander"/>
    <s v="Account"/>
    <x v="8"/>
    <x v="0"/>
    <d v="2024-11-23T00:00:00"/>
    <x v="10"/>
  </r>
  <r>
    <n v="-80"/>
    <s v="Santander"/>
    <s v="Account"/>
    <x v="7"/>
    <x v="0"/>
    <d v="2024-11-25T00:00:00"/>
    <x v="10"/>
  </r>
  <r>
    <n v="-58"/>
    <s v="Santander"/>
    <s v="Account"/>
    <x v="0"/>
    <x v="0"/>
    <d v="2024-11-26T00:00:00"/>
    <x v="10"/>
  </r>
  <r>
    <n v="-52"/>
    <s v="Santander"/>
    <s v="Account"/>
    <x v="8"/>
    <x v="0"/>
    <d v="2024-11-27T00:00:00"/>
    <x v="10"/>
  </r>
  <r>
    <n v="-44"/>
    <s v="Santander"/>
    <s v="Account"/>
    <x v="7"/>
    <x v="0"/>
    <d v="2024-11-27T00:00:00"/>
    <x v="10"/>
  </r>
  <r>
    <n v="-48"/>
    <s v="Santander"/>
    <s v="Account"/>
    <x v="8"/>
    <x v="0"/>
    <d v="2024-11-27T00:00:00"/>
    <x v="10"/>
  </r>
  <r>
    <n v="-65"/>
    <s v="Santander"/>
    <s v="Account"/>
    <x v="5"/>
    <x v="0"/>
    <d v="2024-11-28T00:00:00"/>
    <x v="10"/>
  </r>
  <r>
    <n v="400"/>
    <s v="Wallet"/>
    <s v="Money"/>
    <x v="14"/>
    <x v="1"/>
    <d v="2024-11-29T00:00:00"/>
    <x v="10"/>
  </r>
  <r>
    <n v="-96"/>
    <s v="Santander"/>
    <s v="Account"/>
    <x v="0"/>
    <x v="0"/>
    <d v="2024-11-30T00:00:00"/>
    <x v="10"/>
  </r>
  <r>
    <n v="-50"/>
    <s v="Santander"/>
    <s v="Account"/>
    <x v="0"/>
    <x v="0"/>
    <d v="2024-12-01T00:00:00"/>
    <x v="11"/>
  </r>
  <r>
    <n v="-50"/>
    <s v="Santander"/>
    <s v="Account"/>
    <x v="0"/>
    <x v="0"/>
    <d v="2024-12-01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150"/>
    <s v="Santander"/>
    <s v="Account"/>
    <x v="7"/>
    <x v="0"/>
    <d v="2024-12-03T00:00:00"/>
    <x v="11"/>
  </r>
  <r>
    <n v="-150"/>
    <s v="Santander"/>
    <s v="Account"/>
    <x v="7"/>
    <x v="0"/>
    <d v="2024-12-03T00:00:00"/>
    <x v="11"/>
  </r>
  <r>
    <n v="-100"/>
    <s v="Santander"/>
    <s v="Account"/>
    <x v="0"/>
    <x v="0"/>
    <d v="2024-12-06T00:00:00"/>
    <x v="11"/>
  </r>
  <r>
    <n v="-100"/>
    <s v="Santander"/>
    <s v="Account"/>
    <x v="0"/>
    <x v="0"/>
    <d v="2024-12-06T00:00:00"/>
    <x v="11"/>
  </r>
  <r>
    <n v="4500"/>
    <s v="Santander"/>
    <s v="Account"/>
    <x v="1"/>
    <x v="1"/>
    <d v="2024-12-10T00:00:00"/>
    <x v="11"/>
  </r>
  <r>
    <n v="-2000"/>
    <s v="Santander"/>
    <s v="Account"/>
    <x v="2"/>
    <x v="0"/>
    <d v="2024-12-11T00:00:00"/>
    <x v="11"/>
  </r>
  <r>
    <n v="-50"/>
    <s v="Santander"/>
    <s v="Account"/>
    <x v="7"/>
    <x v="0"/>
    <d v="2024-12-14T00:00:00"/>
    <x v="11"/>
  </r>
  <r>
    <n v="-100"/>
    <s v="Santander"/>
    <s v="Account"/>
    <x v="10"/>
    <x v="0"/>
    <d v="2024-12-15T00:00:00"/>
    <x v="11"/>
  </r>
  <r>
    <n v="-100"/>
    <s v="Santander"/>
    <s v="Account"/>
    <x v="0"/>
    <x v="0"/>
    <d v="2024-12-18T00:00:00"/>
    <x v="11"/>
  </r>
  <r>
    <n v="500"/>
    <s v="Wallet"/>
    <s v="Money"/>
    <x v="14"/>
    <x v="1"/>
    <d v="2024-12-22T00:00:00"/>
    <x v="11"/>
  </r>
  <r>
    <n v="-100"/>
    <s v="Wallet"/>
    <s v="Money"/>
    <x v="7"/>
    <x v="0"/>
    <d v="2024-12-23T00:00:00"/>
    <x v="11"/>
  </r>
  <r>
    <n v="1500"/>
    <s v="Wallet"/>
    <s v="Money"/>
    <x v="14"/>
    <x v="1"/>
    <d v="2024-12-24T00:00:00"/>
    <x v="11"/>
  </r>
  <r>
    <n v="-500"/>
    <s v="Wallet"/>
    <s v="Money"/>
    <x v="5"/>
    <x v="0"/>
    <d v="2024-12-28T00:00:00"/>
    <x v="11"/>
  </r>
  <r>
    <n v="-300"/>
    <s v="Wallet"/>
    <s v="Money"/>
    <x v="0"/>
    <x v="0"/>
    <d v="2024-12-30T00:00:0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82576-3B2E-42E0-98EC-92B953C6906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O9" firstHeaderRow="1" firstDataRow="2" firstDataCol="2"/>
  <pivotFields count="7">
    <pivotField dataField="1" compact="0" numFmtId="164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</pivotField>
    <pivotField axis="axisRow" compact="0" outline="0" subtotalTop="0" showAll="0">
      <items count="4">
        <item sd="0" x="0"/>
        <item sd="0" x="1"/>
        <item x="2"/>
        <item t="default"/>
      </items>
    </pivotField>
    <pivotField compact="0" numFmtId="14" outline="0" subtotalTop="0" showAll="0"/>
    <pivotField axis="axisCol" compact="0" outline="0" subtotalTop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4"/>
    <field x="3"/>
  </rowFields>
  <rowItems count="5">
    <i>
      <x/>
    </i>
    <i>
      <x v="1"/>
    </i>
    <i>
      <x v="2"/>
      <x v="14"/>
    </i>
    <i t="default">
      <x v="2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Amount" fld="0" baseField="0" baseItem="0" numFmtId="164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D0C13B-32DA-46E1-B74E-464D177D95A2}" name="summary17" displayName="summary17" ref="A1:N18" totalsRowCount="1">
  <autoFilter ref="A1:N17" xr:uid="{A829925E-7DD8-41FF-8DA0-C09B16512882}"/>
  <tableColumns count="14">
    <tableColumn id="1" xr3:uid="{EFFB137C-DA21-4620-91F2-A4261585FC66}" name="Category" totalsRowLabel="Total"/>
    <tableColumn id="2" xr3:uid="{16F37ADB-4B88-4CC1-B23C-B016670E3A99}" name="Type" totalsRowDxfId="12"/>
    <tableColumn id="3" xr3:uid="{78650BC4-C98E-47F9-9EDE-E161918094E0}" name="1" totalsRowFunction="sum" dataDxfId="24" totalsRowDxfId="11">
      <calculatedColumnFormula array="1">SUMIFS(operations[[Amount]:[Amount]],operations[[Category]:[Category]],summary17[[#This Row],[Category]:[Category]],operations[[Month]:[Month]],summary17[[#Headers],[1]])</calculatedColumnFormula>
    </tableColumn>
    <tableColumn id="4" xr3:uid="{F561603C-31EB-4ABD-B0DF-ACBD9AA68B61}" name="2" totalsRowFunction="sum" dataDxfId="23" totalsRowDxfId="10">
      <calculatedColumnFormula array="1">SUMIFS(operations[[Amount]:[Amount]],operations[[Category]:[Category]],summary17[[#This Row],[Category]:[Category]],operations[[Month]:[Month]],summary17[[#Headers],[2]])</calculatedColumnFormula>
    </tableColumn>
    <tableColumn id="5" xr3:uid="{A7AEE923-E370-4023-8972-DB3A046AF7E8}" name="3" totalsRowFunction="sum" dataDxfId="22" totalsRowDxfId="9">
      <calculatedColumnFormula array="1">SUMIFS(operations[[Amount]:[Amount]],operations[[Category]:[Category]],summary17[[#This Row],[Category]:[Category]],operations[[Month]:[Month]],summary17[[#Headers],[3]])</calculatedColumnFormula>
    </tableColumn>
    <tableColumn id="6" xr3:uid="{0A041EFB-82B8-43A7-8A38-1F81E5D86244}" name="4" totalsRowFunction="sum" dataDxfId="21" totalsRowDxfId="8">
      <calculatedColumnFormula array="1">SUMIFS(operations[[Amount]:[Amount]],operations[[Category]:[Category]],summary17[[#This Row],[Category]:[Category]],operations[[Month]:[Month]],summary17[[#Headers],[4]])</calculatedColumnFormula>
    </tableColumn>
    <tableColumn id="7" xr3:uid="{936800E1-610F-46C1-9E98-53E137A904F2}" name="5" totalsRowFunction="sum" dataDxfId="20" totalsRowDxfId="7">
      <calculatedColumnFormula array="1">SUMIFS(operations[[Amount]:[Amount]],operations[[Category]:[Category]],summary17[[#This Row],[Category]:[Category]],operations[[Month]:[Month]],summary17[[#Headers],[5]])</calculatedColumnFormula>
    </tableColumn>
    <tableColumn id="8" xr3:uid="{C08EFA46-5ABC-49D3-B6AC-596F0AD9C59D}" name="6" totalsRowFunction="sum" dataDxfId="19" totalsRowDxfId="6">
      <calculatedColumnFormula array="1">SUMIFS(operations[[Amount]:[Amount]],operations[[Category]:[Category]],summary17[[#This Row],[Category]:[Category]],operations[[Month]:[Month]],summary17[[#Headers],[6]])</calculatedColumnFormula>
    </tableColumn>
    <tableColumn id="9" xr3:uid="{7564E583-5F28-496C-A79A-831F0D94D1F7}" name="7" totalsRowFunction="sum" dataDxfId="18" totalsRowDxfId="5">
      <calculatedColumnFormula array="1">SUMIFS(operations[[Amount]:[Amount]],operations[[Category]:[Category]],summary17[[#This Row],[Category]:[Category]],operations[[Month]:[Month]],summary17[[#Headers],[7]])</calculatedColumnFormula>
    </tableColumn>
    <tableColumn id="10" xr3:uid="{1E0CABB3-5F2D-429A-BD7C-B2A63267A12B}" name="8" totalsRowFunction="sum" dataDxfId="17" totalsRowDxfId="4">
      <calculatedColumnFormula array="1">SUMIFS(operations[[Amount]:[Amount]],operations[[Category]:[Category]],summary17[[#This Row],[Category]:[Category]],operations[[Month]:[Month]],summary17[[#Headers],[8]])</calculatedColumnFormula>
    </tableColumn>
    <tableColumn id="11" xr3:uid="{A637968A-D535-49CC-A7DD-01993048C51D}" name="9" totalsRowFunction="sum" dataDxfId="16" totalsRowDxfId="3">
      <calculatedColumnFormula array="1">SUMIFS(operations[[Amount]:[Amount]],operations[[Category]:[Category]],summary17[[#This Row],[Category]:[Category]],operations[[Month]:[Month]],summary17[[#Headers],[9]])</calculatedColumnFormula>
    </tableColumn>
    <tableColumn id="12" xr3:uid="{56792F47-CD57-4637-8E7D-703A8B2F10D7}" name="10" totalsRowFunction="sum" dataDxfId="15" totalsRowDxfId="2">
      <calculatedColumnFormula array="1">SUMIFS(operations[[Amount]:[Amount]],operations[[Category]:[Category]],summary17[[#This Row],[Category]:[Category]],operations[[Month]:[Month]],summary17[[#Headers],[10]])</calculatedColumnFormula>
    </tableColumn>
    <tableColumn id="13" xr3:uid="{6649C8CB-4616-45CE-9AC2-E926B5FA5E6D}" name="11" totalsRowFunction="sum" dataDxfId="14" totalsRowDxfId="1">
      <calculatedColumnFormula array="1">SUMIFS(operations[[Amount]:[Amount]],operations[[Category]:[Category]],summary17[[#This Row],[Category]:[Category]],operations[[Month]:[Month]],summary17[[#Headers],[11]])</calculatedColumnFormula>
    </tableColumn>
    <tableColumn id="14" xr3:uid="{CF97CE7F-0AF6-470B-AF17-C802E5F81862}" name="12" totalsRowFunction="sum" dataDxfId="13" totalsRowDxfId="0">
      <calculatedColumnFormula array="1">SUMIFS(operations[[Amount]:[Amount]],operations[[Category]:[Category]],summary17[[#This Row],[Category]:[Category]],operations[[Month]:[Month]],summary17[[#Headers],[12]])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600899AC-5D64-4057-A7F1-DFB8F2256D67}" name="raports_12" displayName="raports_12" ref="A1:E9" totalsRowCount="1" totalsRowDxfId="254">
  <autoFilter ref="A1:E8" xr:uid="{F706CB8C-C36B-4EB9-A419-1185AE33EA91}"/>
  <tableColumns count="5">
    <tableColumn id="1" xr3:uid="{C2262A29-ADB0-4753-959A-A6A790244409}" name="Bank" totalsRowLabel="Total" totalsRowDxfId="33"/>
    <tableColumn id="2" xr3:uid="{3EF4CFFE-11E9-438C-B9C0-0DA8EDAD1DFA}" name="Product" totalsRowDxfId="32"/>
    <tableColumn id="3" xr3:uid="{1DBC7481-4B02-4918-B9DD-00806C893816}" name="Opening balance" totalsRowFunction="sum" dataDxfId="253" totalsRowDxfId="31"/>
    <tableColumn id="4" xr3:uid="{05C72CFE-2567-404F-9D7C-29A7DFC9DB06}" name="Operation" totalsRowFunction="sum" dataDxfId="252" totalsRowDxfId="30">
      <calculatedColumnFormula>SUMIFS(operations[Amount],operations[Bank],raports_12[[#This Row],[Bank]],operations[Product],raports_12[[#This Row],[Product]],operations[Month],$B$12)</calculatedColumnFormula>
    </tableColumn>
    <tableColumn id="5" xr3:uid="{16D849C5-2983-4347-BA11-707F10CA78AA}" name="Closing balance" totalsRowFunction="sum" dataDxfId="251" totalsRowDxfId="29">
      <calculatedColumnFormula>raports_12[[#This Row],[Opening balance]]+raports_12[[#This Row],[Operation]]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E3AE27E-A035-45DA-8555-01E0CD9F10D3}" name="Expenses12" displayName="Expenses12" ref="G1:H8" totalsRowCount="1">
  <autoFilter ref="G1:H7" xr:uid="{526E2AA0-EAFC-4391-91F3-22C9986E510D}"/>
  <tableColumns count="2">
    <tableColumn id="1" xr3:uid="{2A5AB22B-18A3-4505-AAD7-62141D855B9E}" name="Category" totalsRowLabel="Total"/>
    <tableColumn id="2" xr3:uid="{BEEA5B89-36D3-4932-BBC3-A17217A6082F}" name="Total" totalsRowFunction="sum" dataDxfId="250" totalsRowDxfId="249">
      <calculatedColumnFormula>SUMIFS(operations[Amount],operations[Category],Expenses12[[#This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C80C2C6-7CE0-47E7-91AB-3A1C7CBD9EAD}" name="Table916283236404448525660" displayName="Table916283236404448525660" ref="J1:K12" totalsRowCount="1">
  <autoFilter ref="J1:K11" xr:uid="{E26169AA-1FD2-4634-80BE-3C784398F456}"/>
  <tableColumns count="2">
    <tableColumn id="1" xr3:uid="{F5D7CA12-6FBC-4A7D-8BD7-7C68994BA5B8}" name="Category" totalsRowLabel="Total"/>
    <tableColumn id="2" xr3:uid="{A5B47991-BEF1-4549-B679-DFAF71B8C509}" name="Total" totalsRowFunction="sum" dataDxfId="248" totalsRowDxfId="247">
      <calculatedColumnFormula>SUMIFS(operations[Amount],operations[Category],Table916283236404448525660[[#This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D9B32F8-9773-4100-82C6-0D2DF5C124D9}" name="balance_12" displayName="balance_12" ref="A14:B18" totalsRowCount="1">
  <autoFilter ref="A14:B17" xr:uid="{8875A921-B100-4B7B-A176-6F873D060A9C}"/>
  <tableColumns count="2">
    <tableColumn id="1" xr3:uid="{16FB2BDD-C1C8-44AB-BCB2-0000079D1312}" name="Type" totalsRowLabel="Total"/>
    <tableColumn id="2" xr3:uid="{81AA01EA-3470-4484-B6A4-4C880DC8EC85}" name="Total" totalsRowFunction="sum" dataDxfId="246" totalsRowDxfId="245">
      <calculatedColumnFormula>SUMIFS(operations[Amount],operations[Type],balance_12[[#This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03E3193-18CA-4B0F-92F8-49442BA20E39}" name="raports_11" displayName="raports_11" ref="A1:E9" totalsRowCount="1" totalsRowDxfId="244">
  <autoFilter ref="A1:E8" xr:uid="{F706CB8C-C36B-4EB9-A419-1185AE33EA91}"/>
  <tableColumns count="5">
    <tableColumn id="1" xr3:uid="{7382D88F-B6AD-4444-B5D2-60FFC0CDA241}" name="Bank" totalsRowLabel="Total" totalsRowDxfId="38"/>
    <tableColumn id="2" xr3:uid="{7A679281-A689-4BD2-BA1E-D4515BD0DEB0}" name="Product" totalsRowDxfId="37"/>
    <tableColumn id="3" xr3:uid="{2B3DBECD-D15E-4E6B-8548-DE348FE6CEA4}" name="Opening balance" totalsRowFunction="sum" dataDxfId="243" totalsRowDxfId="36"/>
    <tableColumn id="4" xr3:uid="{AF5B0050-296E-4012-A3A5-D0A8F48F46E2}" name="Operation" totalsRowFunction="sum" dataDxfId="242" totalsRowDxfId="35">
      <calculatedColumnFormula>SUMIFS(operations[Amount],operations[Bank],raports_11[[#This Row],[Bank]],operations[Product],raports_11[[#This Row],[Product]],operations[Month],$B$12)</calculatedColumnFormula>
    </tableColumn>
    <tableColumn id="5" xr3:uid="{96856AFF-5C8F-4C28-981C-9A3EF15F3768}" name="Closing balance" totalsRowFunction="sum" dataDxfId="241" totalsRowDxfId="34">
      <calculatedColumnFormula>raports_11[[#This Row],[Opening balance]]+raports_11[[#This Row],[Operation]]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CEF898A7-7D0F-4570-9561-15BD0052A6B1}" name="Expenses11" displayName="Expenses11" ref="G1:H8" totalsRowCount="1">
  <autoFilter ref="G1:H7" xr:uid="{526E2AA0-EAFC-4391-91F3-22C9986E510D}"/>
  <tableColumns count="2">
    <tableColumn id="1" xr3:uid="{44F8D975-BC27-426E-90B1-CED43821F550}" name="Category" totalsRowLabel="Total"/>
    <tableColumn id="2" xr3:uid="{24963098-CF76-49DD-BB16-40C2EC09FF7A}" name="Total" totalsRowFunction="sum" dataDxfId="240" totalsRowDxfId="239">
      <calculatedColumnFormula>SUMIFS(operations[Amount],operations[Category],Expenses11[[#This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E959389-34D6-4AF9-B7B9-B030DB5759C3}" name="Table9162832364044485256" displayName="Table9162832364044485256" ref="J1:K12" totalsRowCount="1">
  <autoFilter ref="J1:K11" xr:uid="{E26169AA-1FD2-4634-80BE-3C784398F456}"/>
  <tableColumns count="2">
    <tableColumn id="1" xr3:uid="{56BA1F4E-498F-4FD7-93D8-C096871658F4}" name="Category" totalsRowLabel="Total"/>
    <tableColumn id="2" xr3:uid="{C258A657-9FB7-4853-BC85-12C9E8D1988C}" name="Total" totalsRowFunction="sum" dataDxfId="238" totalsRowDxfId="237">
      <calculatedColumnFormula>SUMIFS(operations[Amount],operations[Category],Table9162832364044485256[[#This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1B1BB317-4936-4E5B-9A72-61B47CD52AC7}" name="balance_11" displayName="balance_11" ref="A14:B18" totalsRowCount="1">
  <autoFilter ref="A14:B17" xr:uid="{8875A921-B100-4B7B-A176-6F873D060A9C}"/>
  <tableColumns count="2">
    <tableColumn id="1" xr3:uid="{6798ADF0-43DD-474C-BCA5-C8AB75658D9E}" name="Type" totalsRowLabel="Total"/>
    <tableColumn id="2" xr3:uid="{CBDA8004-1437-4C3A-8A12-CB37B8B5ADB6}" name="Total" totalsRowFunction="sum" dataDxfId="236" totalsRowDxfId="235">
      <calculatedColumnFormula>SUMIFS(operations[Amount],operations[Type],balance_11[[#This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5B7B3E4-91ED-4EAD-8D77-5C3CD30A41DA}" name="raports_9" displayName="raports_9" ref="A1:E9" totalsRowCount="1" totalsRowDxfId="234">
  <autoFilter ref="A1:E8" xr:uid="{F706CB8C-C36B-4EB9-A419-1185AE33EA91}"/>
  <tableColumns count="5">
    <tableColumn id="1" xr3:uid="{2D68C584-FC7D-422C-B0CE-BC259F13A903}" name="Bank" totalsRowLabel="Total" totalsRowDxfId="233"/>
    <tableColumn id="2" xr3:uid="{F56CA1C2-9FD0-4EE5-8C03-B56C784E5D6F}" name="Product" totalsRowDxfId="232"/>
    <tableColumn id="3" xr3:uid="{8E4BDD90-63F0-43D0-AA12-251C5D640802}" name="Opening balance" totalsRowFunction="sum" dataDxfId="231" totalsRowDxfId="230"/>
    <tableColumn id="4" xr3:uid="{8A0F17B3-CACF-4066-8945-C3F41FAE0438}" name="Operation" totalsRowFunction="sum" dataDxfId="229" totalsRowDxfId="228">
      <calculatedColumnFormula>SUMIFS(operations[Amount],operations[Bank],raports_9[[#This Row],[Bank]],operations[Product],raports_9[[#This Row],[Product]],operations[Month],$B$12)</calculatedColumnFormula>
    </tableColumn>
    <tableColumn id="5" xr3:uid="{90A465E0-34C0-4E00-8950-0320A44730D7}" name="Closing balance" totalsRowFunction="sum" dataDxfId="227" totalsRowDxfId="226">
      <calculatedColumnFormula>raports_9[[#This Row],[Opening balance]]+raports_9[[#This Row],[Operation]]</calculatedColumnFormula>
    </tableColumn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A6A106C-6F81-43CF-AA0B-B866E9873095}" name="Expenses9" displayName="Expenses9" ref="G1:H8" totalsRowCount="1">
  <autoFilter ref="G1:H7" xr:uid="{526E2AA0-EAFC-4391-91F3-22C9986E510D}"/>
  <tableColumns count="2">
    <tableColumn id="1" xr3:uid="{F314CB62-B71E-4BF8-9294-165336B5409E}" name="Category" totalsRowLabel="Total"/>
    <tableColumn id="2" xr3:uid="{9E7E4CC7-EB10-4870-95AC-504D1EC14406}" name="Total" totalsRowFunction="sum" dataDxfId="225" totalsRowDxfId="224">
      <calculatedColumnFormula>SUMIFS(operations[Amount],operations[Category],Expenses9[[#This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678B685-4092-4044-8D93-BA1D27BB5CAF}" name="Table916283236404448" displayName="Table916283236404448" ref="J1:K12" totalsRowCount="1">
  <autoFilter ref="J1:K11" xr:uid="{E26169AA-1FD2-4634-80BE-3C784398F456}"/>
  <tableColumns count="2">
    <tableColumn id="1" xr3:uid="{7BD1E9F2-9A91-4308-9827-F21A5664A1D4}" name="Category" totalsRowLabel="Total"/>
    <tableColumn id="2" xr3:uid="{A15BC534-E911-4F67-8A2D-76F05AF17572}" name="Total" totalsRowFunction="sum" dataDxfId="223" totalsRowDxfId="222">
      <calculatedColumnFormula>SUMIFS(operations[Amount],operations[Category],Table916283236404448[[#This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15A5F17A-DF86-4BC7-941C-1347668A842B}" name="balance_9" displayName="balance_9" ref="A14:B18" totalsRowCount="1">
  <autoFilter ref="A14:B17" xr:uid="{8875A921-B100-4B7B-A176-6F873D060A9C}"/>
  <tableColumns count="2">
    <tableColumn id="1" xr3:uid="{CAC3B66F-6C1B-4542-AA79-080FF08A5478}" name="Type" totalsRowLabel="Total"/>
    <tableColumn id="2" xr3:uid="{92EF8D3C-79C5-46A6-A7B9-F43D3730B2AC}" name="Total" totalsRowFunction="sum" dataDxfId="221" totalsRowDxfId="220">
      <calculatedColumnFormula>SUMIFS(operations[Amount],operations[Type],balance_9[[#This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491C20C-E294-41E3-93DA-02004E686020}" name="raports_10" displayName="raports_10" ref="A1:E9" totalsRowCount="1" totalsRowDxfId="219">
  <autoFilter ref="A1:E8" xr:uid="{F706CB8C-C36B-4EB9-A419-1185AE33EA91}"/>
  <tableColumns count="5">
    <tableColumn id="1" xr3:uid="{E1C118F1-026D-43A2-BDCA-27C52607AB09}" name="Bank" totalsRowLabel="Total" totalsRowDxfId="218"/>
    <tableColumn id="2" xr3:uid="{DC0725FA-69B2-4E8E-82C8-7371FF2A2555}" name="Product" totalsRowDxfId="217"/>
    <tableColumn id="3" xr3:uid="{0664B9BB-071E-472E-82E4-1E8DE1F19B94}" name="Opening balance" totalsRowFunction="sum" dataDxfId="216" totalsRowDxfId="215"/>
    <tableColumn id="4" xr3:uid="{812E91DA-274F-4077-B07D-BB9D55B5AED2}" name="Operation" totalsRowFunction="sum" dataDxfId="214" totalsRowDxfId="213">
      <calculatedColumnFormula>SUMIFS(operations[Amount],operations[Bank],raports_10[[#This Row],[Bank]],operations[Product],raports_10[[#This Row],[Product]],operations[Month],$B$12)</calculatedColumnFormula>
    </tableColumn>
    <tableColumn id="5" xr3:uid="{11F97867-CA83-497F-B048-258B5C7B285F}" name="Closing balance" totalsRowFunction="sum" dataDxfId="212" totalsRowDxfId="211">
      <calculatedColumnFormula>raports_10[[#This Row],[Opening balance]]+raports_10[[#This Row],[Operation]]</calculatedColumnFormula>
    </tableColumn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201A299-5C5F-4E4D-BA9F-2B34470F934A}" name="Expenses10" displayName="Expenses10" ref="G1:H8" totalsRowCount="1">
  <autoFilter ref="G1:H7" xr:uid="{526E2AA0-EAFC-4391-91F3-22C9986E510D}"/>
  <tableColumns count="2">
    <tableColumn id="1" xr3:uid="{B40A7253-D614-4E4E-B30D-8EE5F0921792}" name="Category" totalsRowLabel="Total"/>
    <tableColumn id="2" xr3:uid="{C64588D7-6D9F-43F4-AB36-1044D05EAA96}" name="Total" totalsRowFunction="sum" dataDxfId="210" totalsRowDxfId="209">
      <calculatedColumnFormula>SUMIFS(operations[Amount],operations[Category],Expenses10[[#This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F0233077-0AA6-4A6B-AFAC-CDC59FCD8250}" name="Table91628323640444852" displayName="Table91628323640444852" ref="J1:K12" totalsRowCount="1">
  <autoFilter ref="J1:K11" xr:uid="{E26169AA-1FD2-4634-80BE-3C784398F456}"/>
  <tableColumns count="2">
    <tableColumn id="1" xr3:uid="{F9CE57CD-81A8-45EA-BF92-C732C675A21A}" name="Category" totalsRowLabel="Total"/>
    <tableColumn id="2" xr3:uid="{39155AAA-BFB4-4528-97EB-9B305B8B0104}" name="Total" totalsRowFunction="sum" dataDxfId="208" totalsRowDxfId="207">
      <calculatedColumnFormula>SUMIFS(operations[Amount],operations[Category],Table91628323640444852[[#This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2DBD5833-2A54-4050-9FC9-10074FD685E0}" name="balance_10" displayName="balance_10" ref="A14:B18" totalsRowCount="1">
  <autoFilter ref="A14:B17" xr:uid="{8875A921-B100-4B7B-A176-6F873D060A9C}"/>
  <tableColumns count="2">
    <tableColumn id="1" xr3:uid="{2E11C11F-D91B-4227-98CD-059E07DC8BC3}" name="Type" totalsRowLabel="Total"/>
    <tableColumn id="2" xr3:uid="{C6B66D51-8D36-4533-BCAE-5FB29D87609C}" name="Total" totalsRowFunction="sum" dataDxfId="206" totalsRowDxfId="205">
      <calculatedColumnFormula>SUMIFS(operations[Amount],operations[Type],balance_10[[#This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7D6C5BD-BCE3-4F0E-B9B1-307537D2EB63}" name="raports_8" displayName="raports_8" ref="A1:E9" totalsRowCount="1" totalsRowDxfId="204">
  <autoFilter ref="A1:E8" xr:uid="{F706CB8C-C36B-4EB9-A419-1185AE33EA91}"/>
  <tableColumns count="5">
    <tableColumn id="1" xr3:uid="{F11EF2D7-4039-4781-B3DC-480FBD65DB50}" name="Bank" totalsRowLabel="Total" totalsRowDxfId="203"/>
    <tableColumn id="2" xr3:uid="{D139CB7C-BD24-4C8B-8D95-BE5A35CD15CC}" name="Product" totalsRowDxfId="202"/>
    <tableColumn id="3" xr3:uid="{06466302-43F3-4F32-BA64-4D3E5425A7F9}" name="Opening balance" totalsRowFunction="sum" dataDxfId="201" totalsRowDxfId="200"/>
    <tableColumn id="4" xr3:uid="{469B7398-5A2E-49BB-9415-94AA7065FB0B}" name="Operation" totalsRowFunction="sum" dataDxfId="199" totalsRowDxfId="198">
      <calculatedColumnFormula>SUMIFS(operations[Amount],operations[Bank],raports_8[[#This Row],[Bank]],operations[Product],raports_8[[#This Row],[Product]],operations[Month],$B$12)</calculatedColumnFormula>
    </tableColumn>
    <tableColumn id="5" xr3:uid="{89539A77-8F20-4D40-8956-2378C87DB835}" name="Closing balance" totalsRowFunction="sum" dataDxfId="197" totalsRowDxfId="196">
      <calculatedColumnFormula>raports_8[[#This Row],[Opening balance]]+raports_8[[#This Row],[Operation]]</calculatedColumnFormula>
    </tableColumn>
  </tableColumns>
  <tableStyleInfo name="TableStyleLight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B5F19DA-836E-4345-8908-B2C6481EE662}" name="Expenses8" displayName="Expenses8" ref="G1:H8" totalsRowCount="1">
  <autoFilter ref="G1:H7" xr:uid="{526E2AA0-EAFC-4391-91F3-22C9986E510D}"/>
  <tableColumns count="2">
    <tableColumn id="1" xr3:uid="{3CCDBD4F-B106-4EE0-87EC-2F4B465D4543}" name="Category" totalsRowLabel="Total"/>
    <tableColumn id="2" xr3:uid="{D0F0F9FE-3DB6-4535-8A87-6C79710286C6}" name="Total" totalsRowFunction="sum" dataDxfId="195" totalsRowDxfId="194">
      <calculatedColumnFormula>SUMIFS(operations[Amount],operations[Category],Expenses8[[#This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4B6F570-2A56-4234-BEBD-3C7A3BE5FE39}" name="Table9162832364044" displayName="Table9162832364044" ref="J1:K12" totalsRowCount="1">
  <autoFilter ref="J1:K11" xr:uid="{E26169AA-1FD2-4634-80BE-3C784398F456}"/>
  <tableColumns count="2">
    <tableColumn id="1" xr3:uid="{B2BC493E-276C-42CD-9F49-B28FAF257BD9}" name="Category" totalsRowLabel="Total"/>
    <tableColumn id="2" xr3:uid="{DD3F37A1-FA28-40EA-B8D2-A1901191FC03}" name="Total" totalsRowFunction="sum" dataDxfId="193" totalsRowDxfId="192">
      <calculatedColumnFormula>SUMIFS(operations[Amount],operations[Category],Table9162832364044[[#This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6D2057E-1DA2-463F-976C-0E9225B6693F}" name="balance_8" displayName="balance_8" ref="A14:B18" totalsRowCount="1">
  <autoFilter ref="A14:B17" xr:uid="{8875A921-B100-4B7B-A176-6F873D060A9C}"/>
  <tableColumns count="2">
    <tableColumn id="1" xr3:uid="{E3FE27C7-C2C9-414E-B803-ECD1EA8523BC}" name="Type" totalsRowLabel="Total"/>
    <tableColumn id="2" xr3:uid="{422AB4D5-4DDC-42A2-9C23-051E7E710D8C}" name="Total" totalsRowFunction="sum" dataDxfId="191" totalsRowDxfId="190">
      <calculatedColumnFormula>SUMIFS(operations[Amount],operations[Type],balance_8[[#This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E7E1E31-A430-4E96-B66E-39E8F62F219C}" name="raports_7" displayName="raports_7" ref="A1:E9" totalsRowCount="1" totalsRowDxfId="189">
  <autoFilter ref="A1:E8" xr:uid="{F706CB8C-C36B-4EB9-A419-1185AE33EA91}"/>
  <tableColumns count="5">
    <tableColumn id="1" xr3:uid="{EF94ACAC-E10F-4361-8E10-46A515E52D71}" name="Bank" totalsRowLabel="Total" totalsRowDxfId="188"/>
    <tableColumn id="2" xr3:uid="{C47664CD-252F-4800-A693-24B0839C24C7}" name="Product" totalsRowDxfId="187"/>
    <tableColumn id="3" xr3:uid="{18BCE869-0CEE-4DD0-A748-CF1B11F18F24}" name="Opening balance" totalsRowFunction="sum" dataDxfId="186" totalsRowDxfId="185"/>
    <tableColumn id="4" xr3:uid="{06212ACF-3C78-4313-927D-89B78481A5AA}" name="Operation" totalsRowFunction="sum" dataDxfId="184" totalsRowDxfId="183">
      <calculatedColumnFormula>SUMIFS(operations[Amount],operations[Bank],raports_7[[#This Row],[Bank]],operations[Product],raports_7[[#This Row],[Product]],operations[Month],$B$12)</calculatedColumnFormula>
    </tableColumn>
    <tableColumn id="5" xr3:uid="{7B8AC2E0-412F-4595-BEEA-05799438303D}" name="Closing balance" totalsRowFunction="sum" dataDxfId="182" totalsRowDxfId="181">
      <calculatedColumnFormula>raports_7[[#This Row],[Opening balance]]+raports_7[[#This Row],[Operation]]</calculatedColumnFormula>
    </tableColumn>
  </tableColumns>
  <tableStyleInfo name="TableStyleLight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D2C6405E-91DE-4584-A2EF-E7195CEC77CA}" name="Expenses7" displayName="Expenses7" ref="G1:H8" totalsRowCount="1">
  <autoFilter ref="G1:H7" xr:uid="{526E2AA0-EAFC-4391-91F3-22C9986E510D}"/>
  <tableColumns count="2">
    <tableColumn id="1" xr3:uid="{01C07EAE-A8B4-470D-A4D5-A9874BFA95AE}" name="Category" totalsRowLabel="Total"/>
    <tableColumn id="2" xr3:uid="{7AEA36D4-28B8-4B95-A079-729055CA8404}" name="Total" totalsRowFunction="sum" dataDxfId="180" totalsRowDxfId="179">
      <calculatedColumnFormula>SUMIFS(operations[Amount],operations[Category],Expenses7[[#This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DB411F9-7DC7-4DE1-907E-BF01563A0C2C}" name="Table91628323640" displayName="Table91628323640" ref="J1:K12" totalsRowCount="1">
  <autoFilter ref="J1:K11" xr:uid="{E26169AA-1FD2-4634-80BE-3C784398F456}"/>
  <tableColumns count="2">
    <tableColumn id="1" xr3:uid="{B244B689-B9A7-4DDB-9936-8307E1056F64}" name="Category" totalsRowLabel="Total"/>
    <tableColumn id="2" xr3:uid="{E035D7A0-1370-4E4B-A4B5-C05F365E7F9C}" name="Total" totalsRowFunction="sum" dataDxfId="178" totalsRowDxfId="177">
      <calculatedColumnFormula>SUMIFS(operations[Amount],operations[Category],Table91628323640[[#This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91D69555-F099-49C8-A8F4-FEB0CBEA3E3A}" name="balance_7" displayName="balance_7" ref="A14:B18" totalsRowCount="1">
  <autoFilter ref="A14:B17" xr:uid="{8875A921-B100-4B7B-A176-6F873D060A9C}"/>
  <tableColumns count="2">
    <tableColumn id="1" xr3:uid="{4A166410-1C4A-475C-9BC5-D069FDA6AFD3}" name="Type" totalsRowLabel="Total"/>
    <tableColumn id="2" xr3:uid="{0D6526CB-FE4A-45DA-91EB-8111C3932A79}" name="Total" totalsRowFunction="sum" dataDxfId="176" totalsRowDxfId="175">
      <calculatedColumnFormula>SUMIFS(operations[Amount],operations[Type],balance_7[[#This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56A1F27-124B-423E-A408-1C3787CC3E82}" name="raports_5" displayName="raports_5" ref="A1:E9" totalsRowCount="1" totalsRowDxfId="174">
  <autoFilter ref="A1:E8" xr:uid="{F706CB8C-C36B-4EB9-A419-1185AE33EA91}"/>
  <tableColumns count="5">
    <tableColumn id="1" xr3:uid="{00B68996-A519-4A39-8D25-ECF70178DE75}" name="Bank" totalsRowLabel="Total" totalsRowDxfId="86"/>
    <tableColumn id="2" xr3:uid="{E8F98E35-D7B6-48EB-8EF4-D81818E4B89B}" name="Product" totalsRowDxfId="85"/>
    <tableColumn id="3" xr3:uid="{6B269A07-08F4-418D-9BF0-B2DC613ACFCE}" name="Opening balance" totalsRowFunction="sum" dataDxfId="173" totalsRowDxfId="84"/>
    <tableColumn id="4" xr3:uid="{EC144913-86F8-4C95-A149-B75C5014FA0D}" name="Operation" totalsRowFunction="sum" dataDxfId="172" totalsRowDxfId="83">
      <calculatedColumnFormula>SUMIFS(operations[Amount],operations[Bank],raports_5[[#This Row],[Bank]],operations[Product],raports_5[[#This Row],[Product]],operations[Month],$B$12)</calculatedColumnFormula>
    </tableColumn>
    <tableColumn id="5" xr3:uid="{AA4ECEE6-2184-4229-8D05-B39C4383FA5E}" name="Closing balance" totalsRowFunction="sum" dataDxfId="171" totalsRowDxfId="82">
      <calculatedColumnFormula>raports_5[[#This Row],[Opening balance]]+raports_5[[#This Row],[Operation]]</calculatedColumnFormula>
    </tableColumn>
  </tableColumns>
  <tableStyleInfo name="TableStyleLight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14D0178-1AB6-4E48-8F3C-90EE9764491D}" name="Expenses6" displayName="Expenses6" ref="G1:H8" totalsRowCount="1">
  <autoFilter ref="G1:H7" xr:uid="{526E2AA0-EAFC-4391-91F3-22C9986E510D}"/>
  <tableColumns count="2">
    <tableColumn id="1" xr3:uid="{7C5B61D6-1BFA-4477-A724-D9EB465587AB}" name="Category" totalsRowLabel="Total"/>
    <tableColumn id="2" xr3:uid="{2D78ADBB-CB3D-4BA8-9758-638CAFCC0128}" name="Total" totalsRowFunction="sum" dataDxfId="170" totalsRowDxfId="169">
      <calculatedColumnFormula>SUMIFS(operations[Amount],operations[Category],Expenses6[[#This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E60F391-5F0A-4F32-9488-7A1DC22D5DA9}" name="Table916283236" displayName="Table916283236" ref="J1:K12" totalsRowCount="1">
  <autoFilter ref="J1:K11" xr:uid="{E26169AA-1FD2-4634-80BE-3C784398F456}"/>
  <tableColumns count="2">
    <tableColumn id="1" xr3:uid="{068DF7D4-A7DC-40FE-93C2-4548EDA08F89}" name="Category" totalsRowLabel="Total"/>
    <tableColumn id="2" xr3:uid="{2339D3F4-6C09-4C17-B726-6EE79CDB8E49}" name="Total" totalsRowFunction="sum" dataDxfId="168" totalsRowDxfId="167">
      <calculatedColumnFormula>SUMIFS(operations[Amount],operations[Category],Table916283236[[#This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8CD5421-5BD3-4A33-BEE3-BAD5B7F3117B}" name="balance_6" displayName="balance_6" ref="A14:B18" totalsRowCount="1">
  <autoFilter ref="A14:B17" xr:uid="{8875A921-B100-4B7B-A176-6F873D060A9C}"/>
  <tableColumns count="2">
    <tableColumn id="1" xr3:uid="{9B11D224-D459-4481-ACA6-CCB6A239FA4A}" name="Type" totalsRowLabel="Total"/>
    <tableColumn id="2" xr3:uid="{2A0030D1-D876-48F1-A636-AFD31D35F0E6}" name="Total" totalsRowFunction="sum" dataDxfId="166" totalsRowDxfId="165">
      <calculatedColumnFormula>SUMIFS(operations[Amount],operations[Type],balance_6[[#This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E66A455-BC17-424E-855D-95FBFC7D7A03}" name="raports_6" displayName="raports_6" ref="A1:E9" totalsRowCount="1" totalsRowDxfId="164">
  <autoFilter ref="A1:E8" xr:uid="{F706CB8C-C36B-4EB9-A419-1185AE33EA91}"/>
  <tableColumns count="5">
    <tableColumn id="1" xr3:uid="{AA1F52F8-D406-4A8A-BC69-9F4F3E318668}" name="Bank" totalsRowLabel="Total" totalsRowDxfId="96"/>
    <tableColumn id="2" xr3:uid="{8DF66427-0C4B-45AE-A5DB-9192BBDA1751}" name="Product" totalsRowDxfId="95"/>
    <tableColumn id="3" xr3:uid="{24769183-7D04-4D52-AC8B-31A0F1B29F82}" name="Opening balance" totalsRowFunction="sum" dataDxfId="163" totalsRowDxfId="94"/>
    <tableColumn id="4" xr3:uid="{CBED5CC0-E0D2-4CAB-9DDF-8228F4C9E8E3}" name="Operation" totalsRowFunction="sum" dataDxfId="162" totalsRowDxfId="93">
      <calculatedColumnFormula>SUMIFS(operations[Amount],operations[Bank],raports_6[[#This Row],[Bank]],operations[Product],raports_6[[#This Row],[Product]],operations[Month],$B$12)</calculatedColumnFormula>
    </tableColumn>
    <tableColumn id="5" xr3:uid="{B276481B-98DE-4300-9271-3B2610834108}" name="Closing balance" totalsRowFunction="sum" dataDxfId="161" totalsRowDxfId="92">
      <calculatedColumnFormula>raports_6[[#This Row],[Opening balance]]+raports_6[[#This Row],[Operation]]</calculatedColumnFormula>
    </tableColumn>
  </tableColumns>
  <tableStyleInfo name="TableStyleLight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32E6E46-5866-4481-A63A-4DBFAF99923F}" name="Expenses5" displayName="Expenses5" ref="G1:H8" totalsRowCount="1">
  <autoFilter ref="G1:H7" xr:uid="{526E2AA0-EAFC-4391-91F3-22C9986E510D}"/>
  <tableColumns count="2">
    <tableColumn id="1" xr3:uid="{72FA738C-8C25-455B-A3A1-3476F278E82C}" name="Category" totalsRowLabel="Total"/>
    <tableColumn id="2" xr3:uid="{5F2472C6-CF57-42BF-845B-055419F0F9A5}" name="Total" totalsRowFunction="sum" dataDxfId="160" totalsRowDxfId="159">
      <calculatedColumnFormula>SUMIFS(operations[Amount],operations[Category],Expenses5[[#This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ADAED5F5-B07F-4AE8-BEF9-86FA9EE2820F}" name="Table9162832" displayName="Table9162832" ref="J1:K12" totalsRowCount="1">
  <autoFilter ref="J1:K11" xr:uid="{E26169AA-1FD2-4634-80BE-3C784398F456}"/>
  <tableColumns count="2">
    <tableColumn id="1" xr3:uid="{53FFE3DA-7215-48CC-A1EF-7BEB13B3091E}" name="Category" totalsRowLabel="Total"/>
    <tableColumn id="2" xr3:uid="{1EB095B2-76CC-4F6F-9FE4-EC2F0A166BEE}" name="Total" totalsRowFunction="sum" dataDxfId="158" totalsRowDxfId="157">
      <calculatedColumnFormula>SUMIFS(operations[Amount],operations[Category],Table9162832[[#This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8725B17-0A08-4EF7-BE52-D77261A478BE}" name="balance_5" displayName="balance_5" ref="A14:B18" totalsRowCount="1">
  <autoFilter ref="A14:B17" xr:uid="{8875A921-B100-4B7B-A176-6F873D060A9C}"/>
  <tableColumns count="2">
    <tableColumn id="1" xr3:uid="{1EAD7FFD-B5F0-4C8C-95BA-15A88C5C3DB2}" name="Type" totalsRowLabel="Total"/>
    <tableColumn id="2" xr3:uid="{459775FD-0568-46DE-9A05-717A0B800855}" name="Total" totalsRowFunction="sum" dataDxfId="156" totalsRowDxfId="155">
      <calculatedColumnFormula>SUMIFS(operations[Amount],operations[Type],balance_5[[#This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438759F-3085-4A95-93B1-A02DB7E49893}" name="raports_3" displayName="raports_3" ref="A1:E9" totalsRowCount="1" totalsRowDxfId="154">
  <autoFilter ref="A1:E8" xr:uid="{F706CB8C-C36B-4EB9-A419-1185AE33EA91}"/>
  <tableColumns count="5">
    <tableColumn id="1" xr3:uid="{BEEF7966-9D97-4319-89F5-44DF61D4FA44}" name="Bank" totalsRowLabel="Total" totalsRowDxfId="91"/>
    <tableColumn id="2" xr3:uid="{3CAA61B3-B7DA-4923-B124-BA0E2F4B5A35}" name="Product" totalsRowDxfId="90"/>
    <tableColumn id="3" xr3:uid="{B600EABD-3A89-45B5-BBA0-E4A07615AB1B}" name="Opening balance" totalsRowFunction="sum" dataDxfId="153" totalsRowDxfId="89"/>
    <tableColumn id="4" xr3:uid="{66E096E8-81C8-4B4A-9743-21771B902151}" name="Operation" totalsRowFunction="sum" dataDxfId="152" totalsRowDxfId="88">
      <calculatedColumnFormula>SUMIFS(operations[Amount],operations[Bank],raports_3[[#This Row],[Bank]],operations[Product],raports_3[[#This Row],[Product]],operations[Month],$B$12)</calculatedColumnFormula>
    </tableColumn>
    <tableColumn id="5" xr3:uid="{9D0FFCA4-1909-42B8-9E93-828BB325ECB6}" name="Closing balance" totalsRowFunction="sum" dataDxfId="151" totalsRowDxfId="87">
      <calculatedColumnFormula>raports_3[[#This Row],[Opening balance]]+raports_3[[#This Row],[Operation]]</calculatedColumnFormula>
    </tableColumn>
  </tableColumns>
  <tableStyleInfo name="TableStyleLight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DE9BDC-288D-410C-ADAC-3B5B801A672B}" name="Expenses3" displayName="Expenses3" ref="G1:H8" totalsRowCount="1">
  <autoFilter ref="G1:H7" xr:uid="{526E2AA0-EAFC-4391-91F3-22C9986E510D}"/>
  <tableColumns count="2">
    <tableColumn id="1" xr3:uid="{6B848A93-26CD-4A5C-9C01-C8BB4198DC1D}" name="Category" totalsRowLabel="Total"/>
    <tableColumn id="2" xr3:uid="{915AA871-2574-406A-A665-78E060769AD5}" name="Total" totalsRowFunction="sum" dataDxfId="150" totalsRowDxfId="149">
      <calculatedColumnFormula>SUMIFS(operations[Amount],operations[Category],Expenses3[[#This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C763D02-04A7-4384-8764-AC9604C73E9A}" name="Table91624" displayName="Table91624" ref="J1:K12" totalsRowCount="1">
  <autoFilter ref="J1:K11" xr:uid="{E26169AA-1FD2-4634-80BE-3C784398F456}"/>
  <tableColumns count="2">
    <tableColumn id="1" xr3:uid="{DE3BD555-C889-400A-BA37-53C2B3B34D14}" name="Category" totalsRowLabel="Total"/>
    <tableColumn id="2" xr3:uid="{5927CBC4-AA5F-44C6-BF3E-C3ED9AF19BCE}" name="Total" totalsRowFunction="sum" dataDxfId="148" totalsRowDxfId="147">
      <calculatedColumnFormula>SUMIFS(operations[Amount],operations[Category],Table91624[[#This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C4EDA44-4FD6-40D5-97DD-94B084890496}" name="balance_3" displayName="balance_3" ref="A14:B18" totalsRowCount="1">
  <autoFilter ref="A14:B17" xr:uid="{8875A921-B100-4B7B-A176-6F873D060A9C}"/>
  <tableColumns count="2">
    <tableColumn id="1" xr3:uid="{8175D834-DB68-47BE-BE6E-763267547846}" name="Type" totalsRowLabel="Total"/>
    <tableColumn id="2" xr3:uid="{53FCBC7F-83A2-4804-8367-7A4B6B88F342}" name="Total" totalsRowFunction="sum" dataDxfId="146" totalsRowDxfId="145">
      <calculatedColumnFormula>SUMIFS(operations[Amount],operations[Type],balance_3[[#This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35391F8-D909-4E56-A308-2F6AC92150FF}" name="raports_2" displayName="raports_2" ref="A1:E9" totalsRowCount="1" totalsRowDxfId="144">
  <autoFilter ref="A1:E8" xr:uid="{F706CB8C-C36B-4EB9-A419-1185AE33EA91}"/>
  <tableColumns count="5">
    <tableColumn id="1" xr3:uid="{292A2CA7-EE9A-4762-94DE-6ED1C65E0880}" name="Bank" totalsRowLabel="Total" totalsRowDxfId="43"/>
    <tableColumn id="2" xr3:uid="{16C505B4-A044-4F5E-A0ED-35AD3857ED91}" name="Product" totalsRowDxfId="42"/>
    <tableColumn id="3" xr3:uid="{0FDD78B8-A547-4569-B07F-29B1879972E8}" name="Opening balance" totalsRowFunction="sum" dataDxfId="143" totalsRowDxfId="41"/>
    <tableColumn id="4" xr3:uid="{C553F441-EDB9-474A-80B3-CC338DB53336}" name="Operation" totalsRowFunction="sum" dataDxfId="142" totalsRowDxfId="40">
      <calculatedColumnFormula>SUMIFS(operations[Amount],operations[Bank],raports_2[[#This Row],[Bank]],operations[Product],raports_2[[#This Row],[Product]],operations[Month],$B$12)</calculatedColumnFormula>
    </tableColumn>
    <tableColumn id="5" xr3:uid="{E40451FF-1405-48FF-9DD0-1E68A32A87AE}" name="Closing balance" totalsRowFunction="sum" dataDxfId="141" totalsRowDxfId="39">
      <calculatedColumnFormula>raports_2[[#This Row],[Opening balance]]+raports_2[[#This Row],[Operation]]</calculatedColumnFormula>
    </tableColumn>
  </tableColumns>
  <tableStyleInfo name="TableStyleLight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C5BB6CB-2056-4FC2-A39D-915871984CA9}" name="Expenses2" displayName="Expenses2" ref="G1:H8" totalsRowCount="1">
  <autoFilter ref="G1:H7" xr:uid="{526E2AA0-EAFC-4391-91F3-22C9986E510D}"/>
  <tableColumns count="2">
    <tableColumn id="1" xr3:uid="{E35E5249-3FD2-47E1-815B-03AC595455CD}" name="Category" totalsRowLabel="Total"/>
    <tableColumn id="2" xr3:uid="{BC781E09-37FE-42D5-84B7-669E7F7B0C54}" name="Total" totalsRowFunction="sum" dataDxfId="140" totalsRowDxfId="139">
      <calculatedColumnFormula>SUMIFS(operations[Amount],operations[Category],Expenses2[[#This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E14CAB9-4E16-4055-8FDD-907DFD93AEC9}" name="Table916" displayName="Table916" ref="J1:K12" totalsRowCount="1">
  <autoFilter ref="J1:K11" xr:uid="{E26169AA-1FD2-4634-80BE-3C784398F456}"/>
  <tableColumns count="2">
    <tableColumn id="1" xr3:uid="{63DC743B-6B7D-4AE9-B016-A636BD39E807}" name="Category" totalsRowLabel="Total"/>
    <tableColumn id="2" xr3:uid="{D80CAB34-4770-449F-BB7C-EFD34AA18BF7}" name="Total" totalsRowFunction="sum" dataDxfId="138" totalsRowDxfId="137">
      <calculatedColumnFormula>SUMIFS(operations[Amount],operations[Category],Table916[[#This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7408986-4040-4C41-A83E-800780F295F1}" name="balance_2" displayName="balance_2" ref="A14:B18" totalsRowCount="1">
  <autoFilter ref="A14:B17" xr:uid="{8875A921-B100-4B7B-A176-6F873D060A9C}"/>
  <tableColumns count="2">
    <tableColumn id="1" xr3:uid="{019271C6-7D92-4532-A87F-786CF192A738}" name="Type" totalsRowLabel="Total"/>
    <tableColumn id="2" xr3:uid="{38F0F7F0-FA4D-401F-8D20-E175954C27EE}" name="Total" totalsRowFunction="sum" dataDxfId="136" totalsRowDxfId="135">
      <calculatedColumnFormula>SUMIFS(operations[Amount],operations[Type],balance_2[[#This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06CB8C-C36B-4EB9-A419-1185AE33EA91}" name="raports_1" displayName="raports_1" ref="A1:E9" totalsRowCount="1" totalsRowDxfId="134">
  <autoFilter ref="A1:E8" xr:uid="{F706CB8C-C36B-4EB9-A419-1185AE33EA91}"/>
  <tableColumns count="5">
    <tableColumn id="1" xr3:uid="{96CEA6E7-38B0-4144-8793-1F55BFC96DFA}" name="Bank" totalsRowLabel="Total" totalsRowDxfId="133"/>
    <tableColumn id="2" xr3:uid="{9B7FEB50-C0BA-4CDC-AC71-C9FD8F03F275}" name="Product" totalsRowDxfId="132"/>
    <tableColumn id="3" xr3:uid="{A7750615-E691-49A8-B887-E686559B9FD7}" name="Opening balance" totalsRowFunction="sum" dataDxfId="131" totalsRowDxfId="130"/>
    <tableColumn id="4" xr3:uid="{BAB5B82D-0CE6-4E4B-8C4E-0974BEC89A5C}" name="Operation" totalsRowFunction="sum" dataDxfId="129" totalsRowDxfId="128">
      <calculatedColumnFormula>SUMIFS(operations[Amount],operations[Bank],raports_1[[#This Row],[Bank]],operations[Product],raports_1[[#This Row],[Product]],operations[Month],$B$12)</calculatedColumnFormula>
    </tableColumn>
    <tableColumn id="5" xr3:uid="{787DAC81-F940-43C3-B96E-0D091318B37D}" name="Closing balance" totalsRowFunction="sum" dataDxfId="127" totalsRowDxfId="126">
      <calculatedColumnFormula>raports_1[[#This Row],[Opening balance]]+raports_1[[#This Row],[Operation]]</calculatedColumnFormula>
    </tableColumn>
  </tableColumns>
  <tableStyleInfo name="TableStyleLight8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6E2AA0-EAFC-4391-91F3-22C9986E510D}" name="Expenses" displayName="Expenses" ref="G1:H8" totalsRowCount="1">
  <autoFilter ref="G1:H7" xr:uid="{526E2AA0-EAFC-4391-91F3-22C9986E510D}"/>
  <tableColumns count="2">
    <tableColumn id="1" xr3:uid="{DF1C6C0A-AE99-43CB-8EF9-D92B33EA7FE2}" name="Category" totalsRowLabel="Total"/>
    <tableColumn id="2" xr3:uid="{2C3E0186-CC09-4804-9308-3534D106820C}" name="Total" totalsRowFunction="sum" dataDxfId="125" totalsRowDxfId="124">
      <calculatedColumnFormula>SUMIFS(operations[Amount],operations[Category],Expenses[[#This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6169AA-1FD2-4634-80BE-3C784398F456}" name="Table9" displayName="Table9" ref="J1:K12" totalsRowCount="1">
  <autoFilter ref="J1:K11" xr:uid="{E26169AA-1FD2-4634-80BE-3C784398F456}"/>
  <tableColumns count="2">
    <tableColumn id="1" xr3:uid="{84BDB503-3D6B-4843-9567-F5C10CF8FCD9}" name="Category" totalsRowLabel="Total"/>
    <tableColumn id="2" xr3:uid="{1F661BC1-C10C-4A6A-A7F5-A0EFC544C6A7}" name="Total" totalsRowFunction="sum" dataDxfId="123" totalsRowDxfId="122">
      <calculatedColumnFormula>SUMIFS(operations[Amount],operations[Category],Table9[[#This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75A921-B100-4B7B-A176-6F873D060A9C}" name="balance_1" displayName="balance_1" ref="A14:B18" totalsRowCount="1">
  <autoFilter ref="A14:B17" xr:uid="{8875A921-B100-4B7B-A176-6F873D060A9C}"/>
  <tableColumns count="2">
    <tableColumn id="1" xr3:uid="{B2E04F8F-0889-4EAC-8E26-6B0C360CB836}" name="Type" totalsRowLabel="Total"/>
    <tableColumn id="2" xr3:uid="{EA69D90C-840D-461E-AEFE-B6DD83237D42}" name="Total" totalsRowFunction="sum" dataDxfId="121" totalsRowDxfId="120">
      <calculatedColumnFormula>SUMIFS(operations[Amount],operations[Type],balance_1[[#This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27D26C8-458C-4753-ABED-9A27C00E54C7}" name="raports_4" displayName="raports_4" ref="A1:E9" totalsRowCount="1" totalsRowDxfId="119">
  <autoFilter ref="A1:E8" xr:uid="{F706CB8C-C36B-4EB9-A419-1185AE33EA91}"/>
  <tableColumns count="5">
    <tableColumn id="1" xr3:uid="{9CD8FE15-A0CC-4888-94D9-E786D0C87A10}" name="Bank" totalsRowLabel="Total" totalsRowDxfId="118"/>
    <tableColumn id="2" xr3:uid="{2E9302CF-7655-4A07-8018-A0B36334CBBF}" name="Product" totalsRowDxfId="117"/>
    <tableColumn id="3" xr3:uid="{24A2463C-D288-4072-BB81-C95784A8EE80}" name="Opening balance" totalsRowFunction="sum" dataDxfId="116" totalsRowDxfId="115"/>
    <tableColumn id="4" xr3:uid="{1369C731-D1AB-4B53-BC3E-1D44B60E71CF}" name="Operation" totalsRowFunction="sum" dataDxfId="114" totalsRowDxfId="113">
      <calculatedColumnFormula>SUMIFS(operations[Amount],operations[Bank],raports_4[[#This Row],[Bank]],operations[Product],raports_4[[#This Row],[Product]],operations[Month],$B$12)</calculatedColumnFormula>
    </tableColumn>
    <tableColumn id="5" xr3:uid="{38DD8C9D-8224-4089-A907-F4316E89EBDC}" name="Closing balance" totalsRowFunction="sum" dataDxfId="112" totalsRowDxfId="111">
      <calculatedColumnFormula>raports_4[[#This Row],[Opening balance]]+raports_4[[#This Row],[Operation]]</calculatedColumnFormula>
    </tableColumn>
  </tableColumns>
  <tableStyleInfo name="TableStyleLight8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EC3920C-D51A-40ED-9BE2-66F9EE879C2A}" name="Expenses4" displayName="Expenses4" ref="G1:H8" totalsRowCount="1">
  <autoFilter ref="G1:H7" xr:uid="{526E2AA0-EAFC-4391-91F3-22C9986E510D}"/>
  <tableColumns count="2">
    <tableColumn id="1" xr3:uid="{6CE4E5A2-B96B-49BE-B9BE-D5D91A4279D8}" name="Category" totalsRowLabel="Total"/>
    <tableColumn id="2" xr3:uid="{A965D214-7630-4293-9BB2-FD858E933E9C}" name="Total" totalsRowFunction="sum" dataDxfId="110" totalsRowDxfId="109">
      <calculatedColumnFormula>SUMIFS(operations[Amount],operations[Category],Expenses4[[#This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B77B9DC-D32B-4885-ABEB-DD44E347F270}" name="Table91628" displayName="Table91628" ref="J1:K12" totalsRowCount="1">
  <autoFilter ref="J1:K11" xr:uid="{E26169AA-1FD2-4634-80BE-3C784398F456}"/>
  <tableColumns count="2">
    <tableColumn id="1" xr3:uid="{F8A939A3-C079-4BA7-82A6-7C2FCD3D6F4D}" name="Category" totalsRowLabel="Total"/>
    <tableColumn id="2" xr3:uid="{400B16F9-C2A9-4ABA-811A-ECE5A19DC947}" name="Total" totalsRowFunction="sum" dataDxfId="108" totalsRowDxfId="107">
      <calculatedColumnFormula>SUMIFS(operations[Amount],operations[Category],Table91628[[#This Row],[Category]],operations[Month],'1'!$B$12)</calculatedColumnFormula>
    </tableColumn>
  </tableColumns>
  <tableStyleInfo name="TableStyleMedium7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DAEB9D6-6E13-4E04-B4C5-534FEF9C7535}" name="balance_4" displayName="balance_4" ref="A14:B18" totalsRowCount="1">
  <autoFilter ref="A14:B17" xr:uid="{8875A921-B100-4B7B-A176-6F873D060A9C}"/>
  <tableColumns count="2">
    <tableColumn id="1" xr3:uid="{2B190826-04E5-47FB-8761-91B958D089CE}" name="Type" totalsRowLabel="Total"/>
    <tableColumn id="2" xr3:uid="{8C09CC67-F5BD-49BA-A71D-0EA06DF3D010}" name="Total" totalsRowFunction="sum" dataDxfId="106" totalsRowDxfId="105">
      <calculatedColumnFormula>SUMIFS(operations[Amount],operations[Type],balance_4[[#This Row],[Type]],operations[Month],'1'!$B$12)</calculatedColumnFormula>
    </tableColumn>
  </tableColumns>
  <tableStyleInfo name="TableStyleMedium7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EA866E-7734-4726-93DD-ACEF0D0F69FA}" name="categories" displayName="categories" ref="A1:B17" totalsRowShown="0" headerRowDxfId="104" dataDxfId="103">
  <autoFilter ref="A1:B17" xr:uid="{67EA866E-7734-4726-93DD-ACEF0D0F69FA}"/>
  <sortState xmlns:xlrd2="http://schemas.microsoft.com/office/spreadsheetml/2017/richdata2" ref="A2:B17">
    <sortCondition ref="B2:B17"/>
    <sortCondition ref="A2:A17"/>
  </sortState>
  <tableColumns count="2">
    <tableColumn id="1" xr3:uid="{A77EAD15-00B3-47DC-853F-2F24AF618280}" name="Category" dataDxfId="102"/>
    <tableColumn id="2" xr3:uid="{B2DD5830-301F-4CF9-AC0B-31AFF2B8C029}" name="Type" dataDxfId="101"/>
  </tableColumns>
  <tableStyleInfo name="TableStyleLight10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49877C-1DD4-4167-B79E-8DD85B86A3B6}" name="products" displayName="products" ref="D1:E8" totalsRowShown="0" headerRowDxfId="100" dataDxfId="99">
  <autoFilter ref="D1:E8" xr:uid="{8549877C-1DD4-4167-B79E-8DD85B86A3B6}"/>
  <sortState xmlns:xlrd2="http://schemas.microsoft.com/office/spreadsheetml/2017/richdata2" ref="D2:E8">
    <sortCondition ref="D2:D8"/>
    <sortCondition ref="E2:E8"/>
  </sortState>
  <tableColumns count="2">
    <tableColumn id="1" xr3:uid="{9C15570D-9DCC-46E5-AE89-C62C94C387E8}" name="Bank" dataDxfId="98"/>
    <tableColumn id="2" xr3:uid="{9501320F-D9C2-4C7E-A096-78DAA3605F79}" name="Product" dataDxfId="97"/>
  </tableColumns>
  <tableStyleInfo name="TableStyleLight10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1DD88-308F-454F-AE9A-44F6B7BEAAD3}" name="operations" displayName="operations" ref="A1:G207" totalsRowShown="0">
  <autoFilter ref="A1:G207" xr:uid="{EF11DD88-308F-454F-AE9A-44F6B7BEAAD3}"/>
  <tableColumns count="7">
    <tableColumn id="1" xr3:uid="{BD2489A0-F924-4B79-A82B-ED1CFF59153A}" name="Amount" dataDxfId="28"/>
    <tableColumn id="2" xr3:uid="{470B0EA4-A1A1-4F93-8A07-C0A17CCCB0D2}" name="Bank"/>
    <tableColumn id="3" xr3:uid="{04239D64-40BC-443E-9ED4-85AC086F9B3E}" name="Product"/>
    <tableColumn id="4" xr3:uid="{3E2DADCB-1834-4355-BCBB-B9D7B334A094}" name="Category"/>
    <tableColumn id="5" xr3:uid="{88F95D0B-AE00-4682-86D2-E4D40BDFFCC3}" name="Type" dataDxfId="27">
      <calculatedColumnFormula>_xlfn.XLOOKUP(operations[[#This Row],[Category]],categories[Category],categories[Type],"",0,1)</calculatedColumnFormula>
    </tableColumn>
    <tableColumn id="6" xr3:uid="{0674E6B2-8DC4-4BFF-9E4D-8B66A94870DA}" name="Date" dataDxfId="26"/>
    <tableColumn id="7" xr3:uid="{06381DB8-5990-4C67-8F96-8D6B433A29C5}" name="Month" dataDxfId="25">
      <calculatedColumnFormula>MONTH(operations[[#This Row],[Date]])</calculatedColumnFormula>
    </tableColumn>
  </tableColumns>
  <tableStyleInfo name="TableStyleLight14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9925E-7DD8-41FF-8DA0-C09B16512882}" name="summary1" displayName="summary1" ref="A1:N18" totalsRowCount="1">
  <autoFilter ref="A1:N17" xr:uid="{A829925E-7DD8-41FF-8DA0-C09B16512882}"/>
  <tableColumns count="14">
    <tableColumn id="1" xr3:uid="{999F4CB9-A473-4DD9-B879-61A74F5F6561}" name="Category" totalsRowLabel="Total"/>
    <tableColumn id="2" xr3:uid="{819FF919-79B1-4EA5-8582-9B817A6E36F5}" name="Type" totalsRowDxfId="69"/>
    <tableColumn id="3" xr3:uid="{2AD51C89-2418-4D3F-A1B5-253B9D445D5F}" name="1" totalsRowFunction="sum" dataDxfId="81" totalsRowDxfId="68">
      <calculatedColumnFormula array="1">SUMIFS(operations[[Amount]:[Amount]],operations[[Category]:[Category]],summary1[[#This Row],[Category]:[Category]],operations[[Month]:[Month]],summary1[[#Headers],[1]])</calculatedColumnFormula>
    </tableColumn>
    <tableColumn id="4" xr3:uid="{EBE6B7D5-8283-40DF-A46B-C2342B613CF6}" name="2" totalsRowFunction="sum" dataDxfId="80" totalsRowDxfId="67">
      <calculatedColumnFormula array="1">SUMIFS(operations[[Amount]:[Amount]],operations[[Category]:[Category]],summary1[[#This Row],[Category]:[Category]],operations[[Month]:[Month]],summary1[[#Headers],[2]])</calculatedColumnFormula>
    </tableColumn>
    <tableColumn id="5" xr3:uid="{65B92E95-5500-40A8-BE4D-A934099A2A1F}" name="3" totalsRowFunction="sum" dataDxfId="79" totalsRowDxfId="66">
      <calculatedColumnFormula array="1">SUMIFS(operations[[Amount]:[Amount]],operations[[Category]:[Category]],summary1[[#This Row],[Category]:[Category]],operations[[Month]:[Month]],summary1[[#Headers],[3]])</calculatedColumnFormula>
    </tableColumn>
    <tableColumn id="6" xr3:uid="{FAA34A53-59EF-40D0-8C27-CF39F7294E95}" name="4" totalsRowFunction="sum" dataDxfId="78" totalsRowDxfId="65">
      <calculatedColumnFormula array="1">SUMIFS(operations[[Amount]:[Amount]],operations[[Category]:[Category]],summary1[[#This Row],[Category]:[Category]],operations[[Month]:[Month]],summary1[[#Headers],[4]])</calculatedColumnFormula>
    </tableColumn>
    <tableColumn id="7" xr3:uid="{0BE4B084-4952-419C-8592-53358207BB55}" name="5" totalsRowFunction="sum" dataDxfId="77" totalsRowDxfId="64">
      <calculatedColumnFormula array="1">SUMIFS(operations[[Amount]:[Amount]],operations[[Category]:[Category]],summary1[[#This Row],[Category]:[Category]],operations[[Month]:[Month]],summary1[[#Headers],[5]])</calculatedColumnFormula>
    </tableColumn>
    <tableColumn id="8" xr3:uid="{6FDEA653-4039-4E05-A999-8962CEA94849}" name="6" totalsRowFunction="sum" dataDxfId="76" totalsRowDxfId="63">
      <calculatedColumnFormula array="1">SUMIFS(operations[[Amount]:[Amount]],operations[[Category]:[Category]],summary1[[#This Row],[Category]:[Category]],operations[[Month]:[Month]],summary1[[#Headers],[6]])</calculatedColumnFormula>
    </tableColumn>
    <tableColumn id="9" xr3:uid="{DCD5C9D4-890B-4032-BF94-4C0B12DE2110}" name="7" totalsRowFunction="sum" dataDxfId="75" totalsRowDxfId="62">
      <calculatedColumnFormula array="1">SUMIFS(operations[[Amount]:[Amount]],operations[[Category]:[Category]],summary1[[#This Row],[Category]:[Category]],operations[[Month]:[Month]],summary1[[#Headers],[7]])</calculatedColumnFormula>
    </tableColumn>
    <tableColumn id="10" xr3:uid="{92AB8E6F-8EFA-46D5-8B7F-6F684067545A}" name="8" totalsRowFunction="sum" dataDxfId="74" totalsRowDxfId="61">
      <calculatedColumnFormula array="1">SUMIFS(operations[[Amount]:[Amount]],operations[[Category]:[Category]],summary1[[#This Row],[Category]:[Category]],operations[[Month]:[Month]],summary1[[#Headers],[8]])</calculatedColumnFormula>
    </tableColumn>
    <tableColumn id="11" xr3:uid="{CEC7EA56-32F0-48F1-95F5-E05C8442A81D}" name="9" totalsRowFunction="sum" dataDxfId="73" totalsRowDxfId="60">
      <calculatedColumnFormula array="1">SUMIFS(operations[[Amount]:[Amount]],operations[[Category]:[Category]],summary1[[#This Row],[Category]:[Category]],operations[[Month]:[Month]],summary1[[#Headers],[9]])</calculatedColumnFormula>
    </tableColumn>
    <tableColumn id="12" xr3:uid="{479850AA-81B1-4023-84F6-AA5AF71185B0}" name="10" totalsRowFunction="sum" dataDxfId="72" totalsRowDxfId="59">
      <calculatedColumnFormula array="1">SUMIFS(operations[[Amount]:[Amount]],operations[[Category]:[Category]],summary1[[#This Row],[Category]:[Category]],operations[[Month]:[Month]],summary1[[#Headers],[10]])</calculatedColumnFormula>
    </tableColumn>
    <tableColumn id="13" xr3:uid="{1D13095C-C025-40C1-B50A-6D8D4429D39D}" name="11" totalsRowFunction="sum" dataDxfId="71" totalsRowDxfId="58">
      <calculatedColumnFormula array="1">SUMIFS(operations[[Amount]:[Amount]],operations[[Category]:[Category]],summary1[[#This Row],[Category]:[Category]],operations[[Month]:[Month]],summary1[[#Headers],[11]])</calculatedColumnFormula>
    </tableColumn>
    <tableColumn id="14" xr3:uid="{EF2963E2-5B65-4228-83E9-FD5D4A683ABB}" name="12" totalsRowFunction="sum" dataDxfId="70" totalsRowDxfId="57">
      <calculatedColumnFormula array="1">SUMIFS(operations[[Amount]:[Amount]],operations[[Category]:[Category]],summary1[[#This Row],[Category]:[Category]],operations[[Month]:[Month]],summary1[[#Headers],[12]])</calculatedColumnFormula>
    </tableColumn>
  </tableColumns>
  <tableStyleInfo name="TableStyleMedium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126506-C94F-42EC-A6DE-F20401D1A052}" name="summary2" displayName="summary2" ref="A1:N21" totalsRowShown="0">
  <autoFilter ref="A1:N21" xr:uid="{77126506-C94F-42EC-A6DE-F20401D1A052}"/>
  <tableColumns count="14">
    <tableColumn id="1" xr3:uid="{2E947516-25AB-4529-AF14-4DD41C2F2BFC}" name="Category"/>
    <tableColumn id="2" xr3:uid="{A11C351E-1F9C-4CAB-BC51-63E367F44946}" name="Type" dataDxfId="56"/>
    <tableColumn id="3" xr3:uid="{2A877B90-989A-4F43-AF8B-1A54B3F15FA3}" name="1" dataDxfId="55"/>
    <tableColumn id="4" xr3:uid="{CD8E01DB-3F4F-40FD-9F7D-3EE370D5A9A9}" name="2" dataDxfId="54"/>
    <tableColumn id="5" xr3:uid="{4118EF5E-DAB0-4409-B813-86F6D728C358}" name="3" dataDxfId="53"/>
    <tableColumn id="6" xr3:uid="{370941E4-0511-42E1-93AB-F4FD2FBCCFD3}" name="4" dataDxfId="52"/>
    <tableColumn id="7" xr3:uid="{ADB7094F-7292-47CA-BD8B-7FC5A0F99C96}" name="5" dataDxfId="51"/>
    <tableColumn id="8" xr3:uid="{D6A2816E-B842-4549-8568-06B20CDEAB55}" name="6" dataDxfId="50"/>
    <tableColumn id="9" xr3:uid="{35008F9A-327F-459C-A17E-66A8081A4052}" name="7" dataDxfId="49"/>
    <tableColumn id="10" xr3:uid="{BECF48D8-39BA-4D28-859E-8286545A54CB}" name="8" dataDxfId="48"/>
    <tableColumn id="11" xr3:uid="{4ADA4B15-1802-4FC7-8116-2C97DAB5396F}" name="9" dataDxfId="47"/>
    <tableColumn id="12" xr3:uid="{98EB0F34-E635-49F0-A138-2FEFBA486CD2}" name="10" dataDxfId="46"/>
    <tableColumn id="13" xr3:uid="{74FF2472-7E6B-4E8A-AA50-3B1717D5BE50}" name="11" dataDxfId="45"/>
    <tableColumn id="14" xr3:uid="{6BBF03AF-96CF-4FD8-8565-26516206140E}" name="12" dataDxfId="44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4" Type="http://schemas.openxmlformats.org/officeDocument/2006/relationships/table" Target="../tables/table2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4" Type="http://schemas.openxmlformats.org/officeDocument/2006/relationships/table" Target="../tables/table2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Relationship Id="rId4" Type="http://schemas.openxmlformats.org/officeDocument/2006/relationships/table" Target="../tables/table2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Relationship Id="rId4" Type="http://schemas.openxmlformats.org/officeDocument/2006/relationships/table" Target="../tables/table3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table" Target="../tables/table34.xml"/><Relationship Id="rId4" Type="http://schemas.openxmlformats.org/officeDocument/2006/relationships/table" Target="../tables/table3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0.xml"/><Relationship Id="rId2" Type="http://schemas.openxmlformats.org/officeDocument/2006/relationships/table" Target="../tables/table39.xml"/><Relationship Id="rId1" Type="http://schemas.openxmlformats.org/officeDocument/2006/relationships/table" Target="../tables/table38.xml"/><Relationship Id="rId4" Type="http://schemas.openxmlformats.org/officeDocument/2006/relationships/table" Target="../tables/table4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Relationship Id="rId4" Type="http://schemas.openxmlformats.org/officeDocument/2006/relationships/table" Target="../tables/table4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table" Target="../tables/table46.xml"/><Relationship Id="rId4" Type="http://schemas.openxmlformats.org/officeDocument/2006/relationships/table" Target="../tables/table4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table" Target="../tables/table5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CC99E-D0D8-48F6-A2AE-75D00A521D02}">
  <dimension ref="A1:N18"/>
  <sheetViews>
    <sheetView workbookViewId="0">
      <selection activeCell="B9" sqref="B9"/>
    </sheetView>
  </sheetViews>
  <sheetFormatPr defaultRowHeight="15" x14ac:dyDescent="0.25"/>
  <cols>
    <col min="1" max="1" width="16.5703125" customWidth="1"/>
    <col min="2" max="2" width="9.140625" customWidth="1"/>
    <col min="3" max="5" width="11.42578125" customWidth="1"/>
    <col min="6" max="14" width="11.42578125" bestFit="1" customWidth="1"/>
  </cols>
  <sheetData>
    <row r="1" spans="1:14" x14ac:dyDescent="0.25">
      <c r="A1" t="s">
        <v>3</v>
      </c>
      <c r="B1" t="s">
        <v>4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</row>
    <row r="2" spans="1:14" x14ac:dyDescent="0.25">
      <c r="A2" s="1" t="s">
        <v>0</v>
      </c>
      <c r="B2" s="1" t="s">
        <v>2</v>
      </c>
      <c r="C2" s="4" t="s">
        <v>34</v>
      </c>
      <c r="D2" s="4" t="s">
        <v>35</v>
      </c>
      <c r="E2" s="4" t="s">
        <v>36</v>
      </c>
      <c r="F2" s="4" cm="1">
        <f t="array" ref="F2">SUMIFS(operations[[Amount]:[Amount]],operations[[Category]:[Category]],summary17[[#This Row],[Category]:[Category]],operations[[Month]:[Month]],summary17[[#Headers],[4]])</f>
        <v>0</v>
      </c>
      <c r="G2" s="4" cm="1">
        <f t="array" ref="G2">SUMIFS(operations[[Amount]:[Amount]],operations[[Category]:[Category]],summary17[[#This Row],[Category]:[Category]],operations[[Month]:[Month]],summary17[[#Headers],[5]])</f>
        <v>0</v>
      </c>
      <c r="H2" s="4" cm="1">
        <f t="array" ref="H2">SUMIFS(operations[[Amount]:[Amount]],operations[[Category]:[Category]],summary17[[#This Row],[Category]:[Category]],operations[[Month]:[Month]],summary17[[#Headers],[6]])</f>
        <v>0</v>
      </c>
      <c r="I2" s="4" cm="1">
        <f t="array" ref="I2">SUMIFS(operations[[Amount]:[Amount]],operations[[Category]:[Category]],summary17[[#This Row],[Category]:[Category]],operations[[Month]:[Month]],summary17[[#Headers],[7]])</f>
        <v>0</v>
      </c>
      <c r="J2" s="4" cm="1">
        <f t="array" ref="J2">SUMIFS(operations[[Amount]:[Amount]],operations[[Category]:[Category]],summary17[[#This Row],[Category]:[Category]],operations[[Month]:[Month]],summary17[[#Headers],[8]])</f>
        <v>0</v>
      </c>
      <c r="K2" s="4" cm="1">
        <f t="array" ref="K2">SUMIFS(operations[[Amount]:[Amount]],operations[[Category]:[Category]],summary17[[#This Row],[Category]:[Category]],operations[[Month]:[Month]],summary17[[#Headers],[9]])</f>
        <v>0</v>
      </c>
      <c r="L2" s="4" cm="1">
        <f t="array" ref="L2">SUMIFS(operations[[Amount]:[Amount]],operations[[Category]:[Category]],summary17[[#This Row],[Category]:[Category]],operations[[Month]:[Month]],summary17[[#Headers],[10]])</f>
        <v>0</v>
      </c>
      <c r="M2" s="4" cm="1">
        <f t="array" ref="M2">SUMIFS(operations[[Amount]:[Amount]],operations[[Category]:[Category]],summary17[[#This Row],[Category]:[Category]],operations[[Month]:[Month]],summary17[[#Headers],[11]])</f>
        <v>0</v>
      </c>
      <c r="N2" s="4" cm="1">
        <f t="array" ref="N2">SUMIFS(operations[[Amount]:[Amount]],operations[[Category]:[Category]],summary17[[#This Row],[Category]:[Category]],operations[[Month]:[Month]],summary17[[#Headers],[12]])</f>
        <v>0</v>
      </c>
    </row>
    <row r="3" spans="1:14" x14ac:dyDescent="0.25">
      <c r="A3" s="1" t="s">
        <v>11</v>
      </c>
      <c r="B3" s="1" t="s">
        <v>8</v>
      </c>
      <c r="C3" s="4">
        <v>100</v>
      </c>
      <c r="D3" s="4">
        <v>-35</v>
      </c>
      <c r="E3" s="4">
        <v>65</v>
      </c>
      <c r="F3" s="4" cm="1">
        <f t="array" ref="F3">SUMIFS(operations[[Amount]:[Amount]],operations[[Category]:[Category]],summary17[[#This Row],[Category]:[Category]],operations[[Month]:[Month]],summary17[[#Headers],[4]])</f>
        <v>0</v>
      </c>
      <c r="G3" s="4" cm="1">
        <f t="array" ref="G3">SUMIFS(operations[[Amount]:[Amount]],operations[[Category]:[Category]],summary17[[#This Row],[Category]:[Category]],operations[[Month]:[Month]],summary17[[#Headers],[5]])</f>
        <v>0</v>
      </c>
      <c r="H3" s="4" cm="1">
        <f t="array" ref="H3">SUMIFS(operations[[Amount]:[Amount]],operations[[Category]:[Category]],summary17[[#This Row],[Category]:[Category]],operations[[Month]:[Month]],summary17[[#Headers],[6]])</f>
        <v>0</v>
      </c>
      <c r="I3" s="4" cm="1">
        <f t="array" ref="I3">SUMIFS(operations[[Amount]:[Amount]],operations[[Category]:[Category]],summary17[[#This Row],[Category]:[Category]],operations[[Month]:[Month]],summary17[[#Headers],[7]])</f>
        <v>0</v>
      </c>
      <c r="J3" s="4" cm="1">
        <f t="array" ref="J3">SUMIFS(operations[[Amount]:[Amount]],operations[[Category]:[Category]],summary17[[#This Row],[Category]:[Category]],operations[[Month]:[Month]],summary17[[#Headers],[8]])</f>
        <v>0</v>
      </c>
      <c r="K3" s="4" cm="1">
        <f t="array" ref="K3">SUMIFS(operations[[Amount]:[Amount]],operations[[Category]:[Category]],summary17[[#This Row],[Category]:[Category]],operations[[Month]:[Month]],summary17[[#Headers],[9]])</f>
        <v>0</v>
      </c>
      <c r="L3" s="4" cm="1">
        <f t="array" ref="L3">SUMIFS(operations[[Amount]:[Amount]],operations[[Category]:[Category]],summary17[[#This Row],[Category]:[Category]],operations[[Month]:[Month]],summary17[[#Headers],[10]])</f>
        <v>0</v>
      </c>
      <c r="M3" s="4" cm="1">
        <f t="array" ref="M3">SUMIFS(operations[[Amount]:[Amount]],operations[[Category]:[Category]],summary17[[#This Row],[Category]:[Category]],operations[[Month]:[Month]],summary17[[#Headers],[11]])</f>
        <v>0</v>
      </c>
      <c r="N3" s="4" cm="1">
        <f t="array" ref="N3">SUMIFS(operations[[Amount]:[Amount]],operations[[Category]:[Category]],summary17[[#This Row],[Category]:[Category]],operations[[Month]:[Month]],summary17[[#Headers],[12]])</f>
        <v>0</v>
      </c>
    </row>
    <row r="4" spans="1:14" x14ac:dyDescent="0.25">
      <c r="A4" s="1" t="s">
        <v>11</v>
      </c>
      <c r="B4" s="1" t="s">
        <v>12</v>
      </c>
      <c r="C4" s="4">
        <v>10.5</v>
      </c>
      <c r="D4" s="4">
        <v>255.5</v>
      </c>
      <c r="E4" s="4">
        <v>266</v>
      </c>
      <c r="F4" s="4" cm="1">
        <f t="array" ref="F4">SUMIFS(operations[[Amount]:[Amount]],operations[[Category]:[Category]],summary17[[#This Row],[Category]:[Category]],operations[[Month]:[Month]],summary17[[#Headers],[4]])</f>
        <v>0</v>
      </c>
      <c r="G4" s="4" cm="1">
        <f t="array" ref="G4">SUMIFS(operations[[Amount]:[Amount]],operations[[Category]:[Category]],summary17[[#This Row],[Category]:[Category]],operations[[Month]:[Month]],summary17[[#Headers],[5]])</f>
        <v>0</v>
      </c>
      <c r="H4" s="4" cm="1">
        <f t="array" ref="H4">SUMIFS(operations[[Amount]:[Amount]],operations[[Category]:[Category]],summary17[[#This Row],[Category]:[Category]],operations[[Month]:[Month]],summary17[[#Headers],[6]])</f>
        <v>0</v>
      </c>
      <c r="I4" s="4" cm="1">
        <f t="array" ref="I4">SUMIFS(operations[[Amount]:[Amount]],operations[[Category]:[Category]],summary17[[#This Row],[Category]:[Category]],operations[[Month]:[Month]],summary17[[#Headers],[7]])</f>
        <v>0</v>
      </c>
      <c r="J4" s="4" cm="1">
        <f t="array" ref="J4">SUMIFS(operations[[Amount]:[Amount]],operations[[Category]:[Category]],summary17[[#This Row],[Category]:[Category]],operations[[Month]:[Month]],summary17[[#Headers],[8]])</f>
        <v>0</v>
      </c>
      <c r="K4" s="4" cm="1">
        <f t="array" ref="K4">SUMIFS(operations[[Amount]:[Amount]],operations[[Category]:[Category]],summary17[[#This Row],[Category]:[Category]],operations[[Month]:[Month]],summary17[[#Headers],[9]])</f>
        <v>0</v>
      </c>
      <c r="L4" s="4" cm="1">
        <f t="array" ref="L4">SUMIFS(operations[[Amount]:[Amount]],operations[[Category]:[Category]],summary17[[#This Row],[Category]:[Category]],operations[[Month]:[Month]],summary17[[#Headers],[10]])</f>
        <v>0</v>
      </c>
      <c r="M4" s="4" cm="1">
        <f t="array" ref="M4">SUMIFS(operations[[Amount]:[Amount]],operations[[Category]:[Category]],summary17[[#This Row],[Category]:[Category]],operations[[Month]:[Month]],summary17[[#Headers],[11]])</f>
        <v>0</v>
      </c>
      <c r="N4" s="4" cm="1">
        <f t="array" ref="N4">SUMIFS(operations[[Amount]:[Amount]],operations[[Category]:[Category]],summary17[[#This Row],[Category]:[Category]],operations[[Month]:[Month]],summary17[[#Headers],[12]])</f>
        <v>0</v>
      </c>
    </row>
    <row r="5" spans="1:14" x14ac:dyDescent="0.25">
      <c r="A5" s="1" t="s">
        <v>7</v>
      </c>
      <c r="B5" s="1" t="s">
        <v>8</v>
      </c>
      <c r="C5" s="4">
        <v>600</v>
      </c>
      <c r="D5" s="4">
        <v>1100</v>
      </c>
      <c r="E5" s="4">
        <v>1700</v>
      </c>
      <c r="F5" s="4" cm="1">
        <f t="array" ref="F5">SUMIFS(operations[[Amount]:[Amount]],operations[[Category]:[Category]],summary17[[#This Row],[Category]:[Category]],operations[[Month]:[Month]],summary17[[#Headers],[4]])</f>
        <v>0</v>
      </c>
      <c r="G5" s="4" cm="1">
        <f t="array" ref="G5">SUMIFS(operations[[Amount]:[Amount]],operations[[Category]:[Category]],summary17[[#This Row],[Category]:[Category]],operations[[Month]:[Month]],summary17[[#Headers],[5]])</f>
        <v>0</v>
      </c>
      <c r="H5" s="4" cm="1">
        <f t="array" ref="H5">SUMIFS(operations[[Amount]:[Amount]],operations[[Category]:[Category]],summary17[[#This Row],[Category]:[Category]],operations[[Month]:[Month]],summary17[[#Headers],[6]])</f>
        <v>0</v>
      </c>
      <c r="I5" s="4" cm="1">
        <f t="array" ref="I5">SUMIFS(operations[[Amount]:[Amount]],operations[[Category]:[Category]],summary17[[#This Row],[Category]:[Category]],operations[[Month]:[Month]],summary17[[#Headers],[7]])</f>
        <v>0</v>
      </c>
      <c r="J5" s="4" cm="1">
        <f t="array" ref="J5">SUMIFS(operations[[Amount]:[Amount]],operations[[Category]:[Category]],summary17[[#This Row],[Category]:[Category]],operations[[Month]:[Month]],summary17[[#Headers],[8]])</f>
        <v>0</v>
      </c>
      <c r="K5" s="4" cm="1">
        <f t="array" ref="K5">SUMIFS(operations[[Amount]:[Amount]],operations[[Category]:[Category]],summary17[[#This Row],[Category]:[Category]],operations[[Month]:[Month]],summary17[[#Headers],[9]])</f>
        <v>0</v>
      </c>
      <c r="L5" s="4" cm="1">
        <f t="array" ref="L5">SUMIFS(operations[[Amount]:[Amount]],operations[[Category]:[Category]],summary17[[#This Row],[Category]:[Category]],operations[[Month]:[Month]],summary17[[#Headers],[10]])</f>
        <v>0</v>
      </c>
      <c r="M5" s="4" cm="1">
        <f t="array" ref="M5">SUMIFS(operations[[Amount]:[Amount]],operations[[Category]:[Category]],summary17[[#This Row],[Category]:[Category]],operations[[Month]:[Month]],summary17[[#Headers],[11]])</f>
        <v>0</v>
      </c>
      <c r="N5" s="4" cm="1">
        <f t="array" ref="N5">SUMIFS(operations[[Amount]:[Amount]],operations[[Category]:[Category]],summary17[[#This Row],[Category]:[Category]],operations[[Month]:[Month]],summary17[[#Headers],[12]])</f>
        <v>0</v>
      </c>
    </row>
    <row r="6" spans="1:14" x14ac:dyDescent="0.25">
      <c r="A6" s="1" t="s">
        <v>7</v>
      </c>
      <c r="B6" s="1" t="s">
        <v>9</v>
      </c>
      <c r="C6" s="4">
        <v>0</v>
      </c>
      <c r="D6" s="4">
        <v>-175</v>
      </c>
      <c r="E6" s="4">
        <v>-175</v>
      </c>
      <c r="F6" s="4" cm="1">
        <f t="array" ref="F6">SUMIFS(operations[[Amount]:[Amount]],operations[[Category]:[Category]],summary17[[#This Row],[Category]:[Category]],operations[[Month]:[Month]],summary17[[#Headers],[4]])</f>
        <v>0</v>
      </c>
      <c r="G6" s="4" cm="1">
        <f t="array" ref="G6">SUMIFS(operations[[Amount]:[Amount]],operations[[Category]:[Category]],summary17[[#This Row],[Category]:[Category]],operations[[Month]:[Month]],summary17[[#Headers],[5]])</f>
        <v>0</v>
      </c>
      <c r="H6" s="4" cm="1">
        <f t="array" ref="H6">SUMIFS(operations[[Amount]:[Amount]],operations[[Category]:[Category]],summary17[[#This Row],[Category]:[Category]],operations[[Month]:[Month]],summary17[[#Headers],[6]])</f>
        <v>0</v>
      </c>
      <c r="I6" s="4" cm="1">
        <f t="array" ref="I6">SUMIFS(operations[[Amount]:[Amount]],operations[[Category]:[Category]],summary17[[#This Row],[Category]:[Category]],operations[[Month]:[Month]],summary17[[#Headers],[7]])</f>
        <v>0</v>
      </c>
      <c r="J6" s="4" cm="1">
        <f t="array" ref="J6">SUMIFS(operations[[Amount]:[Amount]],operations[[Category]:[Category]],summary17[[#This Row],[Category]:[Category]],operations[[Month]:[Month]],summary17[[#Headers],[8]])</f>
        <v>0</v>
      </c>
      <c r="K6" s="4" cm="1">
        <f t="array" ref="K6">SUMIFS(operations[[Amount]:[Amount]],operations[[Category]:[Category]],summary17[[#This Row],[Category]:[Category]],operations[[Month]:[Month]],summary17[[#Headers],[9]])</f>
        <v>0</v>
      </c>
      <c r="L6" s="4" cm="1">
        <f t="array" ref="L6">SUMIFS(operations[[Amount]:[Amount]],operations[[Category]:[Category]],summary17[[#This Row],[Category]:[Category]],operations[[Month]:[Month]],summary17[[#Headers],[10]])</f>
        <v>0</v>
      </c>
      <c r="M6" s="4" cm="1">
        <f t="array" ref="M6">SUMIFS(operations[[Amount]:[Amount]],operations[[Category]:[Category]],summary17[[#This Row],[Category]:[Category]],operations[[Month]:[Month]],summary17[[#Headers],[11]])</f>
        <v>0</v>
      </c>
      <c r="N6" s="4" cm="1">
        <f t="array" ref="N6">SUMIFS(operations[[Amount]:[Amount]],operations[[Category]:[Category]],summary17[[#This Row],[Category]:[Category]],operations[[Month]:[Month]],summary17[[#Headers],[12]])</f>
        <v>0</v>
      </c>
    </row>
    <row r="7" spans="1:14" x14ac:dyDescent="0.25">
      <c r="A7" s="1" t="s">
        <v>7</v>
      </c>
      <c r="B7" s="1" t="s">
        <v>10</v>
      </c>
      <c r="C7" s="4">
        <v>2000</v>
      </c>
      <c r="D7" s="4">
        <v>-400</v>
      </c>
      <c r="E7" s="4">
        <v>1600</v>
      </c>
      <c r="F7" s="4" cm="1">
        <f t="array" ref="F7">SUMIFS(operations[[Amount]:[Amount]],operations[[Category]:[Category]],summary17[[#This Row],[Category]:[Category]],operations[[Month]:[Month]],summary17[[#Headers],[4]])</f>
        <v>0</v>
      </c>
      <c r="G7" s="4" cm="1">
        <f t="array" ref="G7">SUMIFS(operations[[Amount]:[Amount]],operations[[Category]:[Category]],summary17[[#This Row],[Category]:[Category]],operations[[Month]:[Month]],summary17[[#Headers],[5]])</f>
        <v>0</v>
      </c>
      <c r="H7" s="4" cm="1">
        <f t="array" ref="H7">SUMIFS(operations[[Amount]:[Amount]],operations[[Category]:[Category]],summary17[[#This Row],[Category]:[Category]],operations[[Month]:[Month]],summary17[[#Headers],[6]])</f>
        <v>0</v>
      </c>
      <c r="I7" s="4" cm="1">
        <f t="array" ref="I7">SUMIFS(operations[[Amount]:[Amount]],operations[[Category]:[Category]],summary17[[#This Row],[Category]:[Category]],operations[[Month]:[Month]],summary17[[#Headers],[7]])</f>
        <v>0</v>
      </c>
      <c r="J7" s="4" cm="1">
        <f t="array" ref="J7">SUMIFS(operations[[Amount]:[Amount]],operations[[Category]:[Category]],summary17[[#This Row],[Category]:[Category]],operations[[Month]:[Month]],summary17[[#Headers],[8]])</f>
        <v>0</v>
      </c>
      <c r="K7" s="4" cm="1">
        <f t="array" ref="K7">SUMIFS(operations[[Amount]:[Amount]],operations[[Category]:[Category]],summary17[[#This Row],[Category]:[Category]],operations[[Month]:[Month]],summary17[[#Headers],[9]])</f>
        <v>0</v>
      </c>
      <c r="L7" s="4" cm="1">
        <f t="array" ref="L7">SUMIFS(operations[[Amount]:[Amount]],operations[[Category]:[Category]],summary17[[#This Row],[Category]:[Category]],operations[[Month]:[Month]],summary17[[#Headers],[10]])</f>
        <v>0</v>
      </c>
      <c r="M7" s="4" cm="1">
        <f t="array" ref="M7">SUMIFS(operations[[Amount]:[Amount]],operations[[Category]:[Category]],summary17[[#This Row],[Category]:[Category]],operations[[Month]:[Month]],summary17[[#Headers],[11]])</f>
        <v>0</v>
      </c>
      <c r="N7" s="4" cm="1">
        <f t="array" ref="N7">SUMIFS(operations[[Amount]:[Amount]],operations[[Category]:[Category]],summary17[[#This Row],[Category]:[Category]],operations[[Month]:[Month]],summary17[[#Headers],[12]])</f>
        <v>0</v>
      </c>
    </row>
    <row r="8" spans="1:14" x14ac:dyDescent="0.25">
      <c r="A8" s="1" t="s">
        <v>13</v>
      </c>
      <c r="B8" s="1" t="s">
        <v>15</v>
      </c>
      <c r="C8" s="4">
        <v>200</v>
      </c>
      <c r="D8" s="4">
        <v>-50</v>
      </c>
      <c r="E8" s="4">
        <v>150</v>
      </c>
      <c r="F8" s="4" cm="1">
        <f t="array" ref="F8">SUMIFS(operations[[Amount]:[Amount]],operations[[Category]:[Category]],summary17[[#This Row],[Category]:[Category]],operations[[Month]:[Month]],summary17[[#Headers],[4]])</f>
        <v>0</v>
      </c>
      <c r="G8" s="4" cm="1">
        <f t="array" ref="G8">SUMIFS(operations[[Amount]:[Amount]],operations[[Category]:[Category]],summary17[[#This Row],[Category]:[Category]],operations[[Month]:[Month]],summary17[[#Headers],[5]])</f>
        <v>0</v>
      </c>
      <c r="H8" s="4" cm="1">
        <f t="array" ref="H8">SUMIFS(operations[[Amount]:[Amount]],operations[[Category]:[Category]],summary17[[#This Row],[Category]:[Category]],operations[[Month]:[Month]],summary17[[#Headers],[6]])</f>
        <v>0</v>
      </c>
      <c r="I8" s="4" cm="1">
        <f t="array" ref="I8">SUMIFS(operations[[Amount]:[Amount]],operations[[Category]:[Category]],summary17[[#This Row],[Category]:[Category]],operations[[Month]:[Month]],summary17[[#Headers],[7]])</f>
        <v>0</v>
      </c>
      <c r="J8" s="4" cm="1">
        <f t="array" ref="J8">SUMIFS(operations[[Amount]:[Amount]],operations[[Category]:[Category]],summary17[[#This Row],[Category]:[Category]],operations[[Month]:[Month]],summary17[[#Headers],[8]])</f>
        <v>0</v>
      </c>
      <c r="K8" s="4" cm="1">
        <f t="array" ref="K8">SUMIFS(operations[[Amount]:[Amount]],operations[[Category]:[Category]],summary17[[#This Row],[Category]:[Category]],operations[[Month]:[Month]],summary17[[#Headers],[9]])</f>
        <v>0</v>
      </c>
      <c r="L8" s="4" cm="1">
        <f t="array" ref="L8">SUMIFS(operations[[Amount]:[Amount]],operations[[Category]:[Category]],summary17[[#This Row],[Category]:[Category]],operations[[Month]:[Month]],summary17[[#Headers],[10]])</f>
        <v>0</v>
      </c>
      <c r="M8" s="4" cm="1">
        <f t="array" ref="M8">SUMIFS(operations[[Amount]:[Amount]],operations[[Category]:[Category]],summary17[[#This Row],[Category]:[Category]],operations[[Month]:[Month]],summary17[[#Headers],[11]])</f>
        <v>0</v>
      </c>
      <c r="N8" s="4" cm="1">
        <f t="array" ref="N8">SUMIFS(operations[[Amount]:[Amount]],operations[[Category]:[Category]],summary17[[#This Row],[Category]:[Category]],operations[[Month]:[Month]],summary17[[#Headers],[12]])</f>
        <v>0</v>
      </c>
    </row>
    <row r="9" spans="1:14" x14ac:dyDescent="0.25">
      <c r="A9" s="1" t="s">
        <v>13</v>
      </c>
      <c r="B9" s="1" t="s">
        <v>14</v>
      </c>
      <c r="C9" s="4">
        <v>30</v>
      </c>
      <c r="D9" s="4">
        <v>150</v>
      </c>
      <c r="E9" s="4">
        <v>180</v>
      </c>
      <c r="F9" s="4" cm="1">
        <f t="array" ref="F9">SUMIFS(operations[[Amount]:[Amount]],operations[[Category]:[Category]],summary17[[#This Row],[Category]:[Category]],operations[[Month]:[Month]],summary17[[#Headers],[4]])</f>
        <v>0</v>
      </c>
      <c r="G9" s="4" cm="1">
        <f t="array" ref="G9">SUMIFS(operations[[Amount]:[Amount]],operations[[Category]:[Category]],summary17[[#This Row],[Category]:[Category]],operations[[Month]:[Month]],summary17[[#Headers],[5]])</f>
        <v>0</v>
      </c>
      <c r="H9" s="4" cm="1">
        <f t="array" ref="H9">SUMIFS(operations[[Amount]:[Amount]],operations[[Category]:[Category]],summary17[[#This Row],[Category]:[Category]],operations[[Month]:[Month]],summary17[[#Headers],[6]])</f>
        <v>0</v>
      </c>
      <c r="I9" s="4" cm="1">
        <f t="array" ref="I9">SUMIFS(operations[[Amount]:[Amount]],operations[[Category]:[Category]],summary17[[#This Row],[Category]:[Category]],operations[[Month]:[Month]],summary17[[#Headers],[7]])</f>
        <v>0</v>
      </c>
      <c r="J9" s="4" cm="1">
        <f t="array" ref="J9">SUMIFS(operations[[Amount]:[Amount]],operations[[Category]:[Category]],summary17[[#This Row],[Category]:[Category]],operations[[Month]:[Month]],summary17[[#Headers],[8]])</f>
        <v>0</v>
      </c>
      <c r="K9" s="4" cm="1">
        <f t="array" ref="K9">SUMIFS(operations[[Amount]:[Amount]],operations[[Category]:[Category]],summary17[[#This Row],[Category]:[Category]],operations[[Month]:[Month]],summary17[[#Headers],[9]])</f>
        <v>0</v>
      </c>
      <c r="L9" s="4" cm="1">
        <f t="array" ref="L9">SUMIFS(operations[[Amount]:[Amount]],operations[[Category]:[Category]],summary17[[#This Row],[Category]:[Category]],operations[[Month]:[Month]],summary17[[#Headers],[10]])</f>
        <v>0</v>
      </c>
      <c r="M9" s="4" cm="1">
        <f t="array" ref="M9">SUMIFS(operations[[Amount]:[Amount]],operations[[Category]:[Category]],summary17[[#This Row],[Category]:[Category]],operations[[Month]:[Month]],summary17[[#Headers],[11]])</f>
        <v>0</v>
      </c>
      <c r="N9" s="4" cm="1">
        <f t="array" ref="N9">SUMIFS(operations[[Amount]:[Amount]],operations[[Category]:[Category]],summary17[[#This Row],[Category]:[Category]],operations[[Month]:[Month]],summary17[[#Headers],[12]])</f>
        <v>0</v>
      </c>
    </row>
    <row r="10" spans="1:14" x14ac:dyDescent="0.25">
      <c r="A10" t="s">
        <v>37</v>
      </c>
      <c r="C10" s="4">
        <v>2940.5</v>
      </c>
      <c r="D10" s="4">
        <v>845.5</v>
      </c>
      <c r="E10" s="4">
        <v>3786</v>
      </c>
      <c r="F10" s="4" cm="1">
        <f t="array" ref="F10">SUMIFS(operations[[Amount]:[Amount]],operations[[Category]:[Category]],summary17[[#This Row],[Category]:[Category]],operations[[Month]:[Month]],summary17[[#Headers],[4]])</f>
        <v>0</v>
      </c>
      <c r="G10" s="4" cm="1">
        <f t="array" ref="G10">SUMIFS(operations[[Amount]:[Amount]],operations[[Category]:[Category]],summary17[[#This Row],[Category]:[Category]],operations[[Month]:[Month]],summary17[[#Headers],[5]])</f>
        <v>0</v>
      </c>
      <c r="H10" s="4" cm="1">
        <f t="array" ref="H10">SUMIFS(operations[[Amount]:[Amount]],operations[[Category]:[Category]],summary17[[#This Row],[Category]:[Category]],operations[[Month]:[Month]],summary17[[#Headers],[6]])</f>
        <v>0</v>
      </c>
      <c r="I10" s="4" cm="1">
        <f t="array" ref="I10">SUMIFS(operations[[Amount]:[Amount]],operations[[Category]:[Category]],summary17[[#This Row],[Category]:[Category]],operations[[Month]:[Month]],summary17[[#Headers],[7]])</f>
        <v>0</v>
      </c>
      <c r="J10" s="4" cm="1">
        <f t="array" ref="J10">SUMIFS(operations[[Amount]:[Amount]],operations[[Category]:[Category]],summary17[[#This Row],[Category]:[Category]],operations[[Month]:[Month]],summary17[[#Headers],[8]])</f>
        <v>0</v>
      </c>
      <c r="K10" s="4" cm="1">
        <f t="array" ref="K10">SUMIFS(operations[[Amount]:[Amount]],operations[[Category]:[Category]],summary17[[#This Row],[Category]:[Category]],operations[[Month]:[Month]],summary17[[#Headers],[9]])</f>
        <v>0</v>
      </c>
      <c r="L10" s="4" cm="1">
        <f t="array" ref="L10">SUMIFS(operations[[Amount]:[Amount]],operations[[Category]:[Category]],summary17[[#This Row],[Category]:[Category]],operations[[Month]:[Month]],summary17[[#Headers],[10]])</f>
        <v>0</v>
      </c>
      <c r="M10" s="4" cm="1">
        <f t="array" ref="M10">SUMIFS(operations[[Amount]:[Amount]],operations[[Category]:[Category]],summary17[[#This Row],[Category]:[Category]],operations[[Month]:[Month]],summary17[[#Headers],[11]])</f>
        <v>0</v>
      </c>
      <c r="N10" s="4" cm="1">
        <f t="array" ref="N10">SUMIFS(operations[[Amount]:[Amount]],operations[[Category]:[Category]],summary17[[#This Row],[Category]:[Category]],operations[[Month]:[Month]],summary17[[#Headers],[12]])</f>
        <v>0</v>
      </c>
    </row>
    <row r="11" spans="1:14" x14ac:dyDescent="0.25">
      <c r="A11" t="s">
        <v>25</v>
      </c>
      <c r="B11" t="s">
        <v>33</v>
      </c>
      <c r="C11" s="4" cm="1">
        <f t="array" ref="C11">SUMIFS(operations[[Amount]:[Amount]],operations[[Category]:[Category]],summary17[[#This Row],[Category]:[Category]],operations[[Month]:[Month]],summary17[[#Headers],[1]])</f>
        <v>250</v>
      </c>
      <c r="D11" s="4" cm="1">
        <f t="array" ref="D11">SUMIFS(operations[[Amount]:[Amount]],operations[[Category]:[Category]],summary17[[#This Row],[Category]:[Category]],operations[[Month]:[Month]],summary17[[#Headers],[2]])</f>
        <v>0</v>
      </c>
      <c r="E11" s="4" cm="1">
        <f t="array" ref="E11">SUMIFS(operations[[Amount]:[Amount]],operations[[Category]:[Category]],summary17[[#This Row],[Category]:[Category]],operations[[Month]:[Month]],summary17[[#Headers],[3]])</f>
        <v>0</v>
      </c>
      <c r="F11" s="4" cm="1">
        <f t="array" ref="F11">SUMIFS(operations[[Amount]:[Amount]],operations[[Category]:[Category]],summary17[[#This Row],[Category]:[Category]],operations[[Month]:[Month]],summary17[[#Headers],[4]])</f>
        <v>0</v>
      </c>
      <c r="G11" s="4" cm="1">
        <f t="array" ref="G11">SUMIFS(operations[[Amount]:[Amount]],operations[[Category]:[Category]],summary17[[#This Row],[Category]:[Category]],operations[[Month]:[Month]],summary17[[#Headers],[5]])</f>
        <v>0</v>
      </c>
      <c r="H11" s="4" cm="1">
        <f t="array" ref="H11">SUMIFS(operations[[Amount]:[Amount]],operations[[Category]:[Category]],summary17[[#This Row],[Category]:[Category]],operations[[Month]:[Month]],summary17[[#Headers],[6]])</f>
        <v>400</v>
      </c>
      <c r="I11" s="4" cm="1">
        <f t="array" ref="I11">SUMIFS(operations[[Amount]:[Amount]],operations[[Category]:[Category]],summary17[[#This Row],[Category]:[Category]],operations[[Month]:[Month]],summary17[[#Headers],[7]])</f>
        <v>0</v>
      </c>
      <c r="J11" s="4" cm="1">
        <f t="array" ref="J11">SUMIFS(operations[[Amount]:[Amount]],operations[[Category]:[Category]],summary17[[#This Row],[Category]:[Category]],operations[[Month]:[Month]],summary17[[#Headers],[8]])</f>
        <v>0</v>
      </c>
      <c r="K11" s="4" cm="1">
        <f t="array" ref="K11">SUMIFS(operations[[Amount]:[Amount]],operations[[Category]:[Category]],summary17[[#This Row],[Category]:[Category]],operations[[Month]:[Month]],summary17[[#Headers],[9]])</f>
        <v>0</v>
      </c>
      <c r="L11" s="4" cm="1">
        <f t="array" ref="L11">SUMIFS(operations[[Amount]:[Amount]],operations[[Category]:[Category]],summary17[[#This Row],[Category]:[Category]],operations[[Month]:[Month]],summary17[[#Headers],[10]])</f>
        <v>0</v>
      </c>
      <c r="M11" s="4" cm="1">
        <f t="array" ref="M11">SUMIFS(operations[[Amount]:[Amount]],operations[[Category]:[Category]],summary17[[#This Row],[Category]:[Category]],operations[[Month]:[Month]],summary17[[#Headers],[11]])</f>
        <v>0</v>
      </c>
      <c r="N11" s="4" cm="1">
        <f t="array" ref="N11">SUMIFS(operations[[Amount]:[Amount]],operations[[Category]:[Category]],summary17[[#This Row],[Category]:[Category]],operations[[Month]:[Month]],summary17[[#Headers],[12]])</f>
        <v>0</v>
      </c>
    </row>
    <row r="12" spans="1:14" x14ac:dyDescent="0.25">
      <c r="A12" t="s">
        <v>28</v>
      </c>
      <c r="B12" t="s">
        <v>33</v>
      </c>
      <c r="C12" s="4" cm="1">
        <f t="array" ref="C12">SUMIFS(operations[[Amount]:[Amount]],operations[[Category]:[Category]],summary17[[#This Row],[Category]:[Category]],operations[[Month]:[Month]],summary17[[#Headers],[1]])</f>
        <v>105.5</v>
      </c>
      <c r="D12" s="4" cm="1">
        <f t="array" ref="D12">SUMIFS(operations[[Amount]:[Amount]],operations[[Category]:[Category]],summary17[[#This Row],[Category]:[Category]],operations[[Month]:[Month]],summary17[[#Headers],[2]])</f>
        <v>115</v>
      </c>
      <c r="E12" s="4" cm="1">
        <f t="array" ref="E12">SUMIFS(operations[[Amount]:[Amount]],operations[[Category]:[Category]],summary17[[#This Row],[Category]:[Category]],operations[[Month]:[Month]],summary17[[#Headers],[3]])</f>
        <v>150</v>
      </c>
      <c r="F12" s="4" cm="1">
        <f t="array" ref="F12">SUMIFS(operations[[Amount]:[Amount]],operations[[Category]:[Category]],summary17[[#This Row],[Category]:[Category]],operations[[Month]:[Month]],summary17[[#Headers],[4]])</f>
        <v>150</v>
      </c>
      <c r="G12" s="4" cm="1">
        <f t="array" ref="G12">SUMIFS(operations[[Amount]:[Amount]],operations[[Category]:[Category]],summary17[[#This Row],[Category]:[Category]],operations[[Month]:[Month]],summary17[[#Headers],[5]])</f>
        <v>0</v>
      </c>
      <c r="H12" s="4" cm="1">
        <f t="array" ref="H12">SUMIFS(operations[[Amount]:[Amount]],operations[[Category]:[Category]],summary17[[#This Row],[Category]:[Category]],operations[[Month]:[Month]],summary17[[#Headers],[6]])</f>
        <v>0</v>
      </c>
      <c r="I12" s="4" cm="1">
        <f t="array" ref="I12">SUMIFS(operations[[Amount]:[Amount]],operations[[Category]:[Category]],summary17[[#This Row],[Category]:[Category]],operations[[Month]:[Month]],summary17[[#Headers],[7]])</f>
        <v>120</v>
      </c>
      <c r="J12" s="4" cm="1">
        <f t="array" ref="J12">SUMIFS(operations[[Amount]:[Amount]],operations[[Category]:[Category]],summary17[[#This Row],[Category]:[Category]],operations[[Month]:[Month]],summary17[[#Headers],[8]])</f>
        <v>0</v>
      </c>
      <c r="K12" s="4" cm="1">
        <f t="array" ref="K12">SUMIFS(operations[[Amount]:[Amount]],operations[[Category]:[Category]],summary17[[#This Row],[Category]:[Category]],operations[[Month]:[Month]],summary17[[#Headers],[9]])</f>
        <v>0</v>
      </c>
      <c r="L12" s="4" cm="1">
        <f t="array" ref="L12">SUMIFS(operations[[Amount]:[Amount]],operations[[Category]:[Category]],summary17[[#This Row],[Category]:[Category]],operations[[Month]:[Month]],summary17[[#Headers],[10]])</f>
        <v>0</v>
      </c>
      <c r="M12" s="4" cm="1">
        <f t="array" ref="M12">SUMIFS(operations[[Amount]:[Amount]],operations[[Category]:[Category]],summary17[[#This Row],[Category]:[Category]],operations[[Month]:[Month]],summary17[[#Headers],[11]])</f>
        <v>0</v>
      </c>
      <c r="N12" s="4" cm="1">
        <f t="array" ref="N12">SUMIFS(operations[[Amount]:[Amount]],operations[[Category]:[Category]],summary17[[#This Row],[Category]:[Category]],operations[[Month]:[Month]],summary17[[#Headers],[12]])</f>
        <v>0</v>
      </c>
    </row>
    <row r="13" spans="1:14" x14ac:dyDescent="0.25">
      <c r="A13" t="s">
        <v>29</v>
      </c>
      <c r="B13" t="s">
        <v>33</v>
      </c>
      <c r="C13" s="4" cm="1">
        <f t="array" ref="C13">SUMIFS(operations[[Amount]:[Amount]],operations[[Category]:[Category]],summary17[[#This Row],[Category]:[Category]],operations[[Month]:[Month]],summary17[[#Headers],[1]])</f>
        <v>0</v>
      </c>
      <c r="D13" s="4" cm="1">
        <f t="array" ref="D13">SUMIFS(operations[[Amount]:[Amount]],operations[[Category]:[Category]],summary17[[#This Row],[Category]:[Category]],operations[[Month]:[Month]],summary17[[#Headers],[2]])</f>
        <v>0</v>
      </c>
      <c r="E13" s="4" cm="1">
        <f t="array" ref="E13">SUMIFS(operations[[Amount]:[Amount]],operations[[Category]:[Category]],summary17[[#This Row],[Category]:[Category]],operations[[Month]:[Month]],summary17[[#Headers],[3]])</f>
        <v>5</v>
      </c>
      <c r="F13" s="4" cm="1">
        <f t="array" ref="F13">SUMIFS(operations[[Amount]:[Amount]],operations[[Category]:[Category]],summary17[[#This Row],[Category]:[Category]],operations[[Month]:[Month]],summary17[[#Headers],[4]])</f>
        <v>50</v>
      </c>
      <c r="G13" s="4" cm="1">
        <f t="array" ref="G13">SUMIFS(operations[[Amount]:[Amount]],operations[[Category]:[Category]],summary17[[#This Row],[Category]:[Category]],operations[[Month]:[Month]],summary17[[#Headers],[5]])</f>
        <v>0</v>
      </c>
      <c r="H13" s="4" cm="1">
        <f t="array" ref="H13">SUMIFS(operations[[Amount]:[Amount]],operations[[Category]:[Category]],summary17[[#This Row],[Category]:[Category]],operations[[Month]:[Month]],summary17[[#Headers],[6]])</f>
        <v>0</v>
      </c>
      <c r="I13" s="4" cm="1">
        <f t="array" ref="I13">SUMIFS(operations[[Amount]:[Amount]],operations[[Category]:[Category]],summary17[[#This Row],[Category]:[Category]],operations[[Month]:[Month]],summary17[[#Headers],[7]])</f>
        <v>800</v>
      </c>
      <c r="J13" s="4" cm="1">
        <f t="array" ref="J13">SUMIFS(operations[[Amount]:[Amount]],operations[[Category]:[Category]],summary17[[#This Row],[Category]:[Category]],operations[[Month]:[Month]],summary17[[#Headers],[8]])</f>
        <v>400</v>
      </c>
      <c r="K13" s="4" cm="1">
        <f t="array" ref="K13">SUMIFS(operations[[Amount]:[Amount]],operations[[Category]:[Category]],summary17[[#This Row],[Category]:[Category]],operations[[Month]:[Month]],summary17[[#Headers],[9]])</f>
        <v>0</v>
      </c>
      <c r="L13" s="4" cm="1">
        <f t="array" ref="L13">SUMIFS(operations[[Amount]:[Amount]],operations[[Category]:[Category]],summary17[[#This Row],[Category]:[Category]],operations[[Month]:[Month]],summary17[[#Headers],[10]])</f>
        <v>0</v>
      </c>
      <c r="M13" s="4" cm="1">
        <f t="array" ref="M13">SUMIFS(operations[[Amount]:[Amount]],operations[[Category]:[Category]],summary17[[#This Row],[Category]:[Category]],operations[[Month]:[Month]],summary17[[#Headers],[11]])</f>
        <v>400</v>
      </c>
      <c r="N13" s="4" cm="1">
        <f t="array" ref="N13">SUMIFS(operations[[Amount]:[Amount]],operations[[Category]:[Category]],summary17[[#This Row],[Category]:[Category]],operations[[Month]:[Month]],summary17[[#Headers],[12]])</f>
        <v>2000</v>
      </c>
    </row>
    <row r="14" spans="1:14" x14ac:dyDescent="0.25">
      <c r="A14" t="s">
        <v>30</v>
      </c>
      <c r="B14" t="s">
        <v>33</v>
      </c>
      <c r="C14" s="4" cm="1">
        <f t="array" ref="C14">SUMIFS(operations[[Amount]:[Amount]],operations[[Category]:[Category]],summary17[[#This Row],[Category]:[Category]],operations[[Month]:[Month]],summary17[[#Headers],[1]])</f>
        <v>800</v>
      </c>
      <c r="D14" s="4" cm="1">
        <f t="array" ref="D14">SUMIFS(operations[[Amount]:[Amount]],operations[[Category]:[Category]],summary17[[#This Row],[Category]:[Category]],operations[[Month]:[Month]],summary17[[#Headers],[2]])</f>
        <v>1950</v>
      </c>
      <c r="E14" s="4" cm="1">
        <f t="array" ref="E14">SUMIFS(operations[[Amount]:[Amount]],operations[[Category]:[Category]],summary17[[#This Row],[Category]:[Category]],operations[[Month]:[Month]],summary17[[#Headers],[3]])</f>
        <v>0</v>
      </c>
      <c r="F14" s="4" cm="1">
        <f t="array" ref="F14">SUMIFS(operations[[Amount]:[Amount]],operations[[Category]:[Category]],summary17[[#This Row],[Category]:[Category]],operations[[Month]:[Month]],summary17[[#Headers],[4]])</f>
        <v>0</v>
      </c>
      <c r="G14" s="4" cm="1">
        <f t="array" ref="G14">SUMIFS(operations[[Amount]:[Amount]],operations[[Category]:[Category]],summary17[[#This Row],[Category]:[Category]],operations[[Month]:[Month]],summary17[[#Headers],[5]])</f>
        <v>0</v>
      </c>
      <c r="H14" s="4" cm="1">
        <f t="array" ref="H14">SUMIFS(operations[[Amount]:[Amount]],operations[[Category]:[Category]],summary17[[#This Row],[Category]:[Category]],operations[[Month]:[Month]],summary17[[#Headers],[6]])</f>
        <v>0</v>
      </c>
      <c r="I14" s="4" cm="1">
        <f t="array" ref="I14">SUMIFS(operations[[Amount]:[Amount]],operations[[Category]:[Category]],summary17[[#This Row],[Category]:[Category]],operations[[Month]:[Month]],summary17[[#Headers],[7]])</f>
        <v>0</v>
      </c>
      <c r="J14" s="4" cm="1">
        <f t="array" ref="J14">SUMIFS(operations[[Amount]:[Amount]],operations[[Category]:[Category]],summary17[[#This Row],[Category]:[Category]],operations[[Month]:[Month]],summary17[[#Headers],[8]])</f>
        <v>0</v>
      </c>
      <c r="K14" s="4" cm="1">
        <f t="array" ref="K14">SUMIFS(operations[[Amount]:[Amount]],operations[[Category]:[Category]],summary17[[#This Row],[Category]:[Category]],operations[[Month]:[Month]],summary17[[#Headers],[9]])</f>
        <v>0</v>
      </c>
      <c r="L14" s="4" cm="1">
        <f t="array" ref="L14">SUMIFS(operations[[Amount]:[Amount]],operations[[Category]:[Category]],summary17[[#This Row],[Category]:[Category]],operations[[Month]:[Month]],summary17[[#Headers],[10]])</f>
        <v>0</v>
      </c>
      <c r="M14" s="4" cm="1">
        <f t="array" ref="M14">SUMIFS(operations[[Amount]:[Amount]],operations[[Category]:[Category]],summary17[[#This Row],[Category]:[Category]],operations[[Month]:[Month]],summary17[[#Headers],[11]])</f>
        <v>0</v>
      </c>
      <c r="N14" s="4">
        <f ca="1">SUBTOTAL(109,summary17[12])</f>
        <v>-405</v>
      </c>
    </row>
    <row r="15" spans="1:14" x14ac:dyDescent="0.25">
      <c r="A15" t="s">
        <v>26</v>
      </c>
      <c r="B15" t="s">
        <v>33</v>
      </c>
      <c r="C15" s="4" cm="1">
        <f t="array" ref="C15">SUMIFS(operations[[Amount]:[Amount]],operations[[Category]:[Category]],summary17[[#This Row],[Category]:[Category]],operations[[Month]:[Month]],summary17[[#Headers],[1]])</f>
        <v>4500</v>
      </c>
      <c r="D15" s="4" cm="1">
        <f t="array" ref="D15">SUMIFS(operations[[Amount]:[Amount]],operations[[Category]:[Category]],summary17[[#This Row],[Category]:[Category]],operations[[Month]:[Month]],summary17[[#Headers],[2]])</f>
        <v>4500</v>
      </c>
      <c r="E15" s="4" cm="1">
        <f t="array" ref="E15">SUMIFS(operations[[Amount]:[Amount]],operations[[Category]:[Category]],summary17[[#This Row],[Category]:[Category]],operations[[Month]:[Month]],summary17[[#Headers],[3]])</f>
        <v>4500</v>
      </c>
      <c r="F15" s="4" cm="1">
        <f t="array" ref="F15">SUMIFS(operations[[Amount]:[Amount]],operations[[Category]:[Category]],summary17[[#This Row],[Category]:[Category]],operations[[Month]:[Month]],summary17[[#Headers],[4]])</f>
        <v>4500</v>
      </c>
      <c r="G15" s="4" cm="1">
        <f t="array" ref="G15">SUMIFS(operations[[Amount]:[Amount]],operations[[Category]:[Category]],summary17[[#This Row],[Category]:[Category]],operations[[Month]:[Month]],summary17[[#Headers],[5]])</f>
        <v>4500</v>
      </c>
      <c r="H15" s="4" cm="1">
        <f t="array" ref="H15">SUMIFS(operations[[Amount]:[Amount]],operations[[Category]:[Category]],summary17[[#This Row],[Category]:[Category]],operations[[Month]:[Month]],summary17[[#Headers],[6]])</f>
        <v>4500</v>
      </c>
      <c r="I15" s="4" cm="1">
        <f t="array" ref="I15">SUMIFS(operations[[Amount]:[Amount]],operations[[Category]:[Category]],summary17[[#This Row],[Category]:[Category]],operations[[Month]:[Month]],summary17[[#Headers],[7]])</f>
        <v>4500</v>
      </c>
      <c r="J15" s="4" cm="1">
        <f t="array" ref="J15">SUMIFS(operations[[Amount]:[Amount]],operations[[Category]:[Category]],summary17[[#This Row],[Category]:[Category]],operations[[Month]:[Month]],summary17[[#Headers],[8]])</f>
        <v>4500</v>
      </c>
      <c r="K15" s="4" cm="1">
        <f t="array" ref="K15">SUMIFS(operations[[Amount]:[Amount]],operations[[Category]:[Category]],summary17[[#This Row],[Category]:[Category]],operations[[Month]:[Month]],summary17[[#Headers],[9]])</f>
        <v>4500</v>
      </c>
      <c r="L15" s="4" cm="1">
        <f t="array" ref="L15">SUMIFS(operations[[Amount]:[Amount]],operations[[Category]:[Category]],summary17[[#This Row],[Category]:[Category]],operations[[Month]:[Month]],summary17[[#Headers],[10]])</f>
        <v>4500</v>
      </c>
      <c r="M15" s="4" cm="1">
        <f t="array" ref="M15">SUMIFS(operations[[Amount]:[Amount]],operations[[Category]:[Category]],summary17[[#This Row],[Category]:[Category]],operations[[Month]:[Month]],summary17[[#Headers],[11]])</f>
        <v>4500</v>
      </c>
      <c r="N15" s="4">
        <f ca="1">SUBTOTAL(109,summary17[12])</f>
        <v>-405</v>
      </c>
    </row>
    <row r="16" spans="1:14" x14ac:dyDescent="0.25">
      <c r="A16" t="s">
        <v>27</v>
      </c>
      <c r="B16" t="s">
        <v>33</v>
      </c>
      <c r="C16" s="4" cm="1">
        <f t="array" ref="C16">SUMIFS(operations[[Amount]:[Amount]],operations[[Category]:[Category]],summary17[[#This Row],[Category]:[Category]],operations[[Month]:[Month]],summary17[[#Headers],[1]])</f>
        <v>0</v>
      </c>
      <c r="D16" s="4" cm="1">
        <f t="array" ref="D16">SUMIFS(operations[[Amount]:[Amount]],operations[[Category]:[Category]],summary17[[#This Row],[Category]:[Category]],operations[[Month]:[Month]],summary17[[#Headers],[2]])</f>
        <v>0</v>
      </c>
      <c r="E16" s="4" cm="1">
        <f t="array" ref="E16">SUMIFS(operations[[Amount]:[Amount]],operations[[Category]:[Category]],summary17[[#This Row],[Category]:[Category]],operations[[Month]:[Month]],summary17[[#Headers],[3]])</f>
        <v>0</v>
      </c>
      <c r="F16" s="4" cm="1">
        <f t="array" ref="F16">SUMIFS(operations[[Amount]:[Amount]],operations[[Category]:[Category]],summary17[[#This Row],[Category]:[Category]],operations[[Month]:[Month]],summary17[[#Headers],[4]])</f>
        <v>0</v>
      </c>
      <c r="G16" s="4" cm="1">
        <f t="array" ref="G16">SUMIFS(operations[[Amount]:[Amount]],operations[[Category]:[Category]],summary17[[#This Row],[Category]:[Category]],operations[[Month]:[Month]],summary17[[#Headers],[5]])</f>
        <v>0</v>
      </c>
      <c r="H16" s="4" cm="1">
        <f t="array" ref="H16">SUMIFS(operations[[Amount]:[Amount]],operations[[Category]:[Category]],summary17[[#This Row],[Category]:[Category]],operations[[Month]:[Month]],summary17[[#Headers],[6]])</f>
        <v>0</v>
      </c>
      <c r="I16" s="4" cm="1">
        <f t="array" ref="I16">SUMIFS(operations[[Amount]:[Amount]],operations[[Category]:[Category]],summary17[[#This Row],[Category]:[Category]],operations[[Month]:[Month]],summary17[[#Headers],[7]])</f>
        <v>500</v>
      </c>
      <c r="J16" s="4" cm="1">
        <f t="array" ref="J16">SUMIFS(operations[[Amount]:[Amount]],operations[[Category]:[Category]],summary17[[#This Row],[Category]:[Category]],operations[[Month]:[Month]],summary17[[#Headers],[8]])</f>
        <v>500</v>
      </c>
      <c r="K16" s="4" cm="1">
        <f t="array" ref="K16">SUMIFS(operations[[Amount]:[Amount]],operations[[Category]:[Category]],summary17[[#This Row],[Category]:[Category]],operations[[Month]:[Month]],summary17[[#Headers],[9]])</f>
        <v>0</v>
      </c>
      <c r="L16" s="4" cm="1">
        <f t="array" ref="L16">SUMIFS(operations[[Amount]:[Amount]],operations[[Category]:[Category]],summary17[[#This Row],[Category]:[Category]],operations[[Month]:[Month]],summary17[[#Headers],[10]])</f>
        <v>0</v>
      </c>
      <c r="M16" s="4" cm="1">
        <f t="array" ref="M16">SUMIFS(operations[[Amount]:[Amount]],operations[[Category]:[Category]],summary17[[#This Row],[Category]:[Category]],operations[[Month]:[Month]],summary17[[#Headers],[11]])</f>
        <v>0</v>
      </c>
      <c r="N16" s="4">
        <f ca="1">SUBTOTAL(109,summary17[12])</f>
        <v>-405</v>
      </c>
    </row>
    <row r="17" spans="1:14" x14ac:dyDescent="0.25">
      <c r="A17" t="s">
        <v>31</v>
      </c>
      <c r="B17" t="s">
        <v>31</v>
      </c>
      <c r="C17" s="4" cm="1">
        <f t="array" ref="C17">SUMIFS(operations[[Amount]:[Amount]],operations[[Category]:[Category]],summary17[[#This Row],[Category]:[Category]],operations[[Month]:[Month]],summary17[[#Headers],[1]])</f>
        <v>0</v>
      </c>
      <c r="D17" s="4" cm="1">
        <f t="array" ref="D17">SUMIFS(operations[[Amount]:[Amount]],operations[[Category]:[Category]],summary17[[#This Row],[Category]:[Category]],operations[[Month]:[Month]],summary17[[#Headers],[2]])</f>
        <v>0</v>
      </c>
      <c r="E17" s="4" cm="1">
        <f t="array" ref="E17">SUMIFS(operations[[Amount]:[Amount]],operations[[Category]:[Category]],summary17[[#This Row],[Category]:[Category]],operations[[Month]:[Month]],summary17[[#Headers],[3]])</f>
        <v>0</v>
      </c>
      <c r="F17" s="4" cm="1">
        <f t="array" ref="F17">SUMIFS(operations[[Amount]:[Amount]],operations[[Category]:[Category]],summary17[[#This Row],[Category]:[Category]],operations[[Month]:[Month]],summary17[[#Headers],[4]])</f>
        <v>0</v>
      </c>
      <c r="G17" s="4" cm="1">
        <f t="array" ref="G17">SUMIFS(operations[[Amount]:[Amount]],operations[[Category]:[Category]],summary17[[#This Row],[Category]:[Category]],operations[[Month]:[Month]],summary17[[#Headers],[5]])</f>
        <v>0</v>
      </c>
      <c r="H17" s="4" cm="1">
        <f t="array" ref="H17">SUMIFS(operations[[Amount]:[Amount]],operations[[Category]:[Category]],summary17[[#This Row],[Category]:[Category]],operations[[Month]:[Month]],summary17[[#Headers],[6]])</f>
        <v>0</v>
      </c>
      <c r="I17" s="4" cm="1">
        <f t="array" ref="I17">SUMIFS(operations[[Amount]:[Amount]],operations[[Category]:[Category]],summary17[[#This Row],[Category]:[Category]],operations[[Month]:[Month]],summary17[[#Headers],[7]])</f>
        <v>0</v>
      </c>
      <c r="J17" s="4" cm="1">
        <f t="array" ref="J17">SUMIFS(operations[[Amount]:[Amount]],operations[[Category]:[Category]],summary17[[#This Row],[Category]:[Category]],operations[[Month]:[Month]],summary17[[#Headers],[8]])</f>
        <v>-1020</v>
      </c>
      <c r="K17" s="4" cm="1">
        <f t="array" ref="K17">SUMIFS(operations[[Amount]:[Amount]],operations[[Category]:[Category]],summary17[[#This Row],[Category]:[Category]],operations[[Month]:[Month]],summary17[[#Headers],[9]])</f>
        <v>0</v>
      </c>
      <c r="L17" s="4" cm="1">
        <f t="array" ref="L17">SUMIFS(operations[[Amount]:[Amount]],operations[[Category]:[Category]],summary17[[#This Row],[Category]:[Category]],operations[[Month]:[Month]],summary17[[#Headers],[10]])</f>
        <v>0</v>
      </c>
      <c r="M17" s="4" cm="1">
        <f t="array" ref="M17">SUMIFS(operations[[Amount]:[Amount]],operations[[Category]:[Category]],summary17[[#This Row],[Category]:[Category]],operations[[Month]:[Month]],summary17[[#Headers],[11]])</f>
        <v>0</v>
      </c>
      <c r="N17" s="4">
        <f ca="1">SUBTOTAL(109,summary17[12])</f>
        <v>-405</v>
      </c>
    </row>
    <row r="18" spans="1:14" x14ac:dyDescent="0.25">
      <c r="A18" t="s">
        <v>37</v>
      </c>
      <c r="B18" s="4"/>
      <c r="C18" s="4">
        <f>SUBTOTAL(109,summary17[1])</f>
        <v>11536.5</v>
      </c>
      <c r="D18" s="4">
        <f>SUBTOTAL(109,summary17[2])</f>
        <v>8256</v>
      </c>
      <c r="E18" s="4">
        <f>SUBTOTAL(109,summary17[3])</f>
        <v>12227</v>
      </c>
      <c r="F18" s="4">
        <f>SUBTOTAL(109,summary17[4])</f>
        <v>4700</v>
      </c>
      <c r="G18" s="4">
        <f>SUBTOTAL(109,summary17[5])</f>
        <v>4500</v>
      </c>
      <c r="H18" s="4">
        <f>SUBTOTAL(109,summary17[6])</f>
        <v>4900</v>
      </c>
      <c r="I18" s="4">
        <f>SUBTOTAL(109,summary17[7])</f>
        <v>5920</v>
      </c>
      <c r="J18" s="4">
        <f>SUBTOTAL(109,summary17[8])</f>
        <v>4380</v>
      </c>
      <c r="K18" s="4">
        <f>SUBTOTAL(109,summary17[9])</f>
        <v>4500</v>
      </c>
      <c r="L18" s="4">
        <f>SUBTOTAL(109,summary17[10])</f>
        <v>4500</v>
      </c>
      <c r="M18" s="4">
        <f>SUBTOTAL(109,summary17[11])</f>
        <v>4900</v>
      </c>
      <c r="N18" s="4">
        <f ca="1">SUBTOTAL(109,summary17[12])</f>
        <v>-405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DED8-6F51-4D9E-AD6C-CE1BCDE5277A}">
  <dimension ref="A1:N18"/>
  <sheetViews>
    <sheetView workbookViewId="0">
      <selection activeCell="C3" sqref="C3"/>
    </sheetView>
  </sheetViews>
  <sheetFormatPr defaultRowHeight="15" x14ac:dyDescent="0.25"/>
  <cols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 t="e" cm="1">
        <f t="array" aca="1" ref="C2" ca="1">INDIRECT("raport_"&amp;$B$12-1&amp;"[@[Closing balance ]]")</f>
        <v>#REF!</v>
      </c>
      <c r="D2" s="4">
        <f ca="1">SUMIFS(operations[Amount],operations[Bank],raports_12[[#This Row],[Bank]],operations[Product],raports_12[[#This Row],[Product]],operations[Month],$B$12)</f>
        <v>0</v>
      </c>
      <c r="E2" s="4" t="e">
        <f ca="1">raports_12[[#This Row],[Opening balance]]+raports_12[[#This Row],[Operation]]</f>
        <v>#REF!</v>
      </c>
      <c r="G2" t="s">
        <v>18</v>
      </c>
      <c r="H2" s="3">
        <f ca="1">SUMIFS(operations[Amount],operations[Category],Expenses12[[#This Row],[Category]],operations[Month],'1'!$B$12)</f>
        <v>-2000</v>
      </c>
      <c r="J2" t="s">
        <v>24</v>
      </c>
      <c r="K2" s="4"/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SUMIFS(operations[Amount],operations[Bank],raports_12[[#This Row],[Bank]],operations[Product],raports_12[[#This Row],[Product]],operations[Month],$B$12)</f>
        <v>0</v>
      </c>
      <c r="E3" s="4">
        <f ca="1">raports_12[[#This Row],[Opening balance]]+raports_12[[#This Row],[Operation]]</f>
        <v>10.5</v>
      </c>
      <c r="G3" t="s">
        <v>22</v>
      </c>
      <c r="H3" s="3">
        <f ca="1">SUMIFS(operations[Amount],operations[Category],Expenses12[[#This Row],[Category]],operations[Month],'1'!$B$12)</f>
        <v>-80</v>
      </c>
      <c r="J3" t="s">
        <v>23</v>
      </c>
      <c r="K3" s="4">
        <f ca="1">SUMIFS(operations[Amount],operations[Category],Table916283236404448525660[[#This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SUMIFS(operations[Amount],operations[Bank],raports_12[[#This Row],[Bank]],operations[Product],raports_12[[#This Row],[Product]],operations[Month],$B$12)</f>
        <v>1320</v>
      </c>
      <c r="E4" s="4">
        <f ca="1">raports_12[[#This Row],[Opening balance]]+raports_12[[#This Row],[Operation]]</f>
        <v>1920</v>
      </c>
      <c r="G4" t="s">
        <v>20</v>
      </c>
      <c r="H4" s="3">
        <f ca="1">SUMIFS(operations[Amount],operations[Category],Expenses12[[#This Row],[Category]],operations[Month],'1'!$B$12)</f>
        <v>-85</v>
      </c>
      <c r="J4" t="s">
        <v>16</v>
      </c>
      <c r="K4" s="4">
        <f ca="1">SUMIFS(operations[Amount],operations[Category],Table916283236404448525660[[#This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SUMIFS(operations[Amount],operations[Bank],raports_12[[#This Row],[Bank]],operations[Product],raports_12[[#This Row],[Product]],operations[Month],$B$12)</f>
        <v>0</v>
      </c>
      <c r="E5" s="4">
        <f ca="1">raports_12[[#This Row],[Opening balance]]+raports_12[[#This Row],[Operation]]</f>
        <v>0</v>
      </c>
      <c r="G5" t="s">
        <v>17</v>
      </c>
      <c r="H5" s="3">
        <f ca="1">SUMIFS(operations[Amount],operations[Category],Expenses12[[#This Row],[Category]],operations[Month],'1'!$B$12)</f>
        <v>-1715</v>
      </c>
      <c r="J5" t="s">
        <v>25</v>
      </c>
      <c r="K5" s="4">
        <f ca="1">SUMIFS(operations[Amount],operations[Category],Table916283236404448525660[[#This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SUMIFS(operations[Amount],operations[Bank],raports_12[[#This Row],[Bank]],operations[Product],raports_12[[#This Row],[Product]],operations[Month],$B$12)</f>
        <v>0</v>
      </c>
      <c r="E6" s="4">
        <f ca="1">raports_12[[#This Row],[Opening balance]]+raports_12[[#This Row],[Operation]]</f>
        <v>2000</v>
      </c>
      <c r="G6" t="s">
        <v>21</v>
      </c>
      <c r="H6" s="3">
        <f ca="1">SUMIFS(operations[Amount],operations[Category],Expenses12[[#This Row],[Category]],operations[Month],'1'!$B$12)</f>
        <v>-100</v>
      </c>
      <c r="J6" t="s">
        <v>28</v>
      </c>
      <c r="K6" s="4">
        <f ca="1">SUMIFS(operations[Amount],operations[Category],Table916283236404448525660[[#This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SUMIFS(operations[Amount],operations[Bank],raports_12[[#This Row],[Bank]],operations[Product],raports_12[[#This Row],[Product]],operations[Month],$B$12)</f>
        <v>0</v>
      </c>
      <c r="E7" s="4">
        <f ca="1">raports_12[[#This Row],[Opening balance]]+raports_12[[#This Row],[Operation]]</f>
        <v>200</v>
      </c>
      <c r="G7" t="s">
        <v>19</v>
      </c>
      <c r="H7" s="3">
        <f ca="1">SUMIFS(operations[Amount],operations[Category],Expenses12[[#This Row],[Category]],operations[Month],'1'!$B$12)</f>
        <v>-150</v>
      </c>
      <c r="J7" t="s">
        <v>29</v>
      </c>
      <c r="K7" s="4">
        <f ca="1">SUMIFS(operations[Amount],operations[Category],Table916283236404448525660[[#This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SUMIFS(operations[Amount],operations[Bank],raports_12[[#This Row],[Bank]],operations[Product],raports_12[[#This Row],[Product]],operations[Month],$B$12)</f>
        <v>1100</v>
      </c>
      <c r="E8" s="4">
        <f ca="1">raports_12[[#This Row],[Opening balance]]+raports_12[[#This Row],[Operation]]</f>
        <v>1130</v>
      </c>
      <c r="G8" t="s">
        <v>37</v>
      </c>
      <c r="H8" s="4">
        <f ca="1">SUBTOTAL(109,Expenses12[Total])</f>
        <v>-4130</v>
      </c>
      <c r="J8" t="s">
        <v>30</v>
      </c>
      <c r="K8" s="4">
        <f ca="1">SUMIFS(operations[Amount],operations[Category],Table916283236404448525660[[#This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 t="e">
        <f ca="1">SUBTOTAL(109,raports_12[Opening balance])</f>
        <v>#REF!</v>
      </c>
      <c r="D9" s="4">
        <f ca="1">SUBTOTAL(109,raports_12[Operation])</f>
        <v>2420</v>
      </c>
      <c r="E9" s="4" t="e">
        <f ca="1">SUBTOTAL(109,raports_12[Closing balance])</f>
        <v>#REF!</v>
      </c>
      <c r="J9" t="s">
        <v>26</v>
      </c>
      <c r="K9" s="4">
        <f ca="1">SUMIFS(operations[Amount],operations[Category],Table916283236404448525660[[#This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SUMIFS(operations[Amount],operations[Category],Table916283236404448525660[[#This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SUMIFS(operations[Amount],operations[Category],Table916283236404448525660[[#This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12</v>
      </c>
      <c r="J12" t="s">
        <v>37</v>
      </c>
      <c r="K12" s="4">
        <f ca="1">SUBTOTAL(109,Table916283236404448525660[Total])</f>
        <v>5475.5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SUMIFS(operations[Amount],operations[Type],balance_12[[#This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SUMIFS(operations[Amount],operations[Type],balance_12[[#This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SUMIFS(operations[Amount],operations[Type],balance_12[[#This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SUBTOTAL(109,balance_12[Total])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54BD-B40C-4A0E-8BAF-E57033CB8FA8}">
  <dimension ref="A1:N18"/>
  <sheetViews>
    <sheetView workbookViewId="0">
      <selection activeCell="C2" sqref="C2"/>
    </sheetView>
  </sheetViews>
  <sheetFormatPr defaultRowHeight="15" x14ac:dyDescent="0.25"/>
  <cols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 t="e" cm="1">
        <f t="array" aca="1" ref="C2" ca="1">INDIRECT("raport_"&amp;$B$12-1&amp;"[@[Closing balance ]]")</f>
        <v>#REF!</v>
      </c>
      <c r="D2" s="4">
        <f ca="1">SUMIFS(operations[Amount],operations[Bank],raports_11[[#This Row],[Bank]],operations[Product],raports_11[[#This Row],[Product]],operations[Month],$B$12)</f>
        <v>0</v>
      </c>
      <c r="E2" s="4" t="e">
        <f ca="1">raports_11[[#This Row],[Opening balance]]+raports_11[[#This Row],[Operation]]</f>
        <v>#REF!</v>
      </c>
      <c r="G2" t="s">
        <v>18</v>
      </c>
      <c r="H2" s="3">
        <f ca="1">SUMIFS(operations[Amount],operations[Category],Expenses11[[#This Row],[Category]],operations[Month],'1'!$B$12)</f>
        <v>-2000</v>
      </c>
      <c r="J2" t="s">
        <v>24</v>
      </c>
      <c r="K2" s="4"/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SUMIFS(operations[Amount],operations[Bank],raports_11[[#This Row],[Bank]],operations[Product],raports_11[[#This Row],[Product]],operations[Month],$B$12)</f>
        <v>0</v>
      </c>
      <c r="E3" s="4">
        <f ca="1">raports_11[[#This Row],[Opening balance]]+raports_11[[#This Row],[Operation]]</f>
        <v>10.5</v>
      </c>
      <c r="G3" t="s">
        <v>22</v>
      </c>
      <c r="H3" s="3">
        <f ca="1">SUMIFS(operations[Amount],operations[Category],Expenses11[[#This Row],[Category]],operations[Month],'1'!$B$12)</f>
        <v>-80</v>
      </c>
      <c r="J3" t="s">
        <v>23</v>
      </c>
      <c r="K3" s="4">
        <f ca="1">SUMIFS(operations[Amount],operations[Category],Table9162832364044485256[[#This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SUMIFS(operations[Amount],operations[Bank],raports_11[[#This Row],[Bank]],operations[Product],raports_11[[#This Row],[Product]],operations[Month],$B$12)</f>
        <v>960</v>
      </c>
      <c r="E4" s="4">
        <f ca="1">raports_11[[#This Row],[Opening balance]]+raports_11[[#This Row],[Operation]]</f>
        <v>1560</v>
      </c>
      <c r="G4" t="s">
        <v>20</v>
      </c>
      <c r="H4" s="3">
        <f ca="1">SUMIFS(operations[Amount],operations[Category],Expenses11[[#This Row],[Category]],operations[Month],'1'!$B$12)</f>
        <v>-85</v>
      </c>
      <c r="J4" t="s">
        <v>16</v>
      </c>
      <c r="K4" s="4">
        <f ca="1">SUMIFS(operations[Amount],operations[Category],Table9162832364044485256[[#This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SUMIFS(operations[Amount],operations[Bank],raports_11[[#This Row],[Bank]],operations[Product],raports_11[[#This Row],[Product]],operations[Month],$B$12)</f>
        <v>40</v>
      </c>
      <c r="E5" s="4">
        <f ca="1">raports_11[[#This Row],[Opening balance]]+raports_11[[#This Row],[Operation]]</f>
        <v>40</v>
      </c>
      <c r="G5" t="s">
        <v>17</v>
      </c>
      <c r="H5" s="3">
        <f ca="1">SUMIFS(operations[Amount],operations[Category],Expenses11[[#This Row],[Category]],operations[Month],'1'!$B$12)</f>
        <v>-1715</v>
      </c>
      <c r="J5" t="s">
        <v>25</v>
      </c>
      <c r="K5" s="4">
        <f ca="1">SUMIFS(operations[Amount],operations[Category],Table9162832364044485256[[#This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SUMIFS(operations[Amount],operations[Bank],raports_11[[#This Row],[Bank]],operations[Product],raports_11[[#This Row],[Product]],operations[Month],$B$12)</f>
        <v>0</v>
      </c>
      <c r="E6" s="4">
        <f ca="1">raports_11[[#This Row],[Opening balance]]+raports_11[[#This Row],[Operation]]</f>
        <v>2000</v>
      </c>
      <c r="G6" t="s">
        <v>21</v>
      </c>
      <c r="H6" s="3">
        <f ca="1">SUMIFS(operations[Amount],operations[Category],Expenses11[[#This Row],[Category]],operations[Month],'1'!$B$12)</f>
        <v>-100</v>
      </c>
      <c r="J6" t="s">
        <v>28</v>
      </c>
      <c r="K6" s="4">
        <f ca="1">SUMIFS(operations[Amount],operations[Category],Table9162832364044485256[[#This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SUMIFS(operations[Amount],operations[Bank],raports_11[[#This Row],[Bank]],operations[Product],raports_11[[#This Row],[Product]],operations[Month],$B$12)</f>
        <v>0</v>
      </c>
      <c r="E7" s="4">
        <f ca="1">raports_11[[#This Row],[Opening balance]]+raports_11[[#This Row],[Operation]]</f>
        <v>200</v>
      </c>
      <c r="G7" t="s">
        <v>19</v>
      </c>
      <c r="H7" s="3">
        <f ca="1">SUMIFS(operations[Amount],operations[Category],Expenses11[[#This Row],[Category]],operations[Month],'1'!$B$12)</f>
        <v>-150</v>
      </c>
      <c r="J7" t="s">
        <v>29</v>
      </c>
      <c r="K7" s="4">
        <f ca="1">SUMIFS(operations[Amount],operations[Category],Table9162832364044485256[[#This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SUMIFS(operations[Amount],operations[Bank],raports_11[[#This Row],[Bank]],operations[Product],raports_11[[#This Row],[Product]],operations[Month],$B$12)</f>
        <v>400</v>
      </c>
      <c r="E8" s="4">
        <f ca="1">raports_11[[#This Row],[Opening balance]]+raports_11[[#This Row],[Operation]]</f>
        <v>430</v>
      </c>
      <c r="G8" t="s">
        <v>37</v>
      </c>
      <c r="H8" s="4">
        <f ca="1">SUBTOTAL(109,Expenses11[Total])</f>
        <v>-4130</v>
      </c>
      <c r="J8" t="s">
        <v>30</v>
      </c>
      <c r="K8" s="4">
        <f ca="1">SUMIFS(operations[Amount],operations[Category],Table9162832364044485256[[#This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 t="e">
        <f ca="1">SUBTOTAL(109,raports_11[Opening balance])</f>
        <v>#REF!</v>
      </c>
      <c r="D9" s="4">
        <f ca="1">SUBTOTAL(109,raports_11[Operation])</f>
        <v>1400</v>
      </c>
      <c r="E9" s="4" t="e">
        <f ca="1">SUBTOTAL(109,raports_11[Closing balance])</f>
        <v>#REF!</v>
      </c>
      <c r="J9" t="s">
        <v>26</v>
      </c>
      <c r="K9" s="4">
        <f ca="1">SUMIFS(operations[Amount],operations[Category],Table9162832364044485256[[#This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SUMIFS(operations[Amount],operations[Category],Table9162832364044485256[[#This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SUMIFS(operations[Amount],operations[Category],Table9162832364044485256[[#This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11</v>
      </c>
      <c r="J12" t="s">
        <v>37</v>
      </c>
      <c r="K12" s="4">
        <f ca="1">SUBTOTAL(109,Table9162832364044485256[Total])</f>
        <v>5475.5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SUMIFS(operations[Amount],operations[Type],balance_11[[#This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SUMIFS(operations[Amount],operations[Type],balance_11[[#This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SUMIFS(operations[Amount],operations[Type],balance_11[[#This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SUBTOTAL(109,balance_11[Total])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39DCF-BD42-4E59-BD30-BF31335A415C}">
  <dimension ref="A1:N18"/>
  <sheetViews>
    <sheetView workbookViewId="0">
      <selection activeCell="G13" sqref="G13"/>
    </sheetView>
  </sheetViews>
  <sheetFormatPr defaultRowHeight="15" x14ac:dyDescent="0.25"/>
  <cols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 t="e" cm="1">
        <f t="array" aca="1" ref="C2" ca="1">INDIRECT("raport_"&amp;$B$12-1&amp;"[@[Closing balance ]]")</f>
        <v>#REF!</v>
      </c>
      <c r="D2" s="4">
        <f ca="1">SUMIFS(operations[Amount],operations[Bank],raports_9[[#This Row],[Bank]],operations[Product],raports_9[[#This Row],[Product]],operations[Month],$B$12)</f>
        <v>-20</v>
      </c>
      <c r="E2" s="4" t="e">
        <f ca="1">raports_9[[#This Row],[Opening balance]]+raports_9[[#This Row],[Operation]]</f>
        <v>#REF!</v>
      </c>
      <c r="G2" t="s">
        <v>18</v>
      </c>
      <c r="H2" s="3">
        <f ca="1">SUMIFS(operations[Amount],operations[Category],Expenses9[[#This Row],[Category]],operations[Month],'1'!$B$12)</f>
        <v>-2000</v>
      </c>
      <c r="J2" t="s">
        <v>24</v>
      </c>
      <c r="K2" s="4"/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SUMIFS(operations[Amount],operations[Bank],raports_9[[#This Row],[Bank]],operations[Product],raports_9[[#This Row],[Product]],operations[Month],$B$12)</f>
        <v>0</v>
      </c>
      <c r="E3" s="4">
        <f ca="1">raports_9[[#This Row],[Opening balance]]+raports_9[[#This Row],[Operation]]</f>
        <v>10.5</v>
      </c>
      <c r="G3" t="s">
        <v>22</v>
      </c>
      <c r="H3" s="3">
        <f ca="1">SUMIFS(operations[Amount],operations[Category],Expenses9[[#This Row],[Category]],operations[Month],'1'!$B$12)</f>
        <v>-80</v>
      </c>
      <c r="J3" t="s">
        <v>23</v>
      </c>
      <c r="K3" s="4">
        <f ca="1">SUMIFS(operations[Amount],operations[Category],Table916283236404448[[#This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SUMIFS(operations[Amount],operations[Bank],raports_9[[#This Row],[Bank]],operations[Product],raports_9[[#This Row],[Product]],operations[Month],$B$12)</f>
        <v>1689.5</v>
      </c>
      <c r="E4" s="4">
        <f ca="1">raports_9[[#This Row],[Opening balance]]+raports_9[[#This Row],[Operation]]</f>
        <v>2289.5</v>
      </c>
      <c r="G4" t="s">
        <v>20</v>
      </c>
      <c r="H4" s="3">
        <f ca="1">SUMIFS(operations[Amount],operations[Category],Expenses9[[#This Row],[Category]],operations[Month],'1'!$B$12)</f>
        <v>-85</v>
      </c>
      <c r="J4" t="s">
        <v>16</v>
      </c>
      <c r="K4" s="4">
        <f ca="1">SUMIFS(operations[Amount],operations[Category],Table916283236404448[[#This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SUMIFS(operations[Amount],operations[Bank],raports_9[[#This Row],[Bank]],operations[Product],raports_9[[#This Row],[Product]],operations[Month],$B$12)</f>
        <v>82</v>
      </c>
      <c r="E5" s="4">
        <f ca="1">raports_9[[#This Row],[Opening balance]]+raports_9[[#This Row],[Operation]]</f>
        <v>82</v>
      </c>
      <c r="G5" t="s">
        <v>17</v>
      </c>
      <c r="H5" s="3">
        <f ca="1">SUMIFS(operations[Amount],operations[Category],Expenses9[[#This Row],[Category]],operations[Month],'1'!$B$12)</f>
        <v>-1715</v>
      </c>
      <c r="J5" t="s">
        <v>25</v>
      </c>
      <c r="K5" s="4">
        <f ca="1">SUMIFS(operations[Amount],operations[Category],Table916283236404448[[#This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SUMIFS(operations[Amount],operations[Bank],raports_9[[#This Row],[Bank]],operations[Product],raports_9[[#This Row],[Product]],operations[Month],$B$12)</f>
        <v>0</v>
      </c>
      <c r="E6" s="4">
        <f ca="1">raports_9[[#This Row],[Opening balance]]+raports_9[[#This Row],[Operation]]</f>
        <v>2000</v>
      </c>
      <c r="G6" t="s">
        <v>21</v>
      </c>
      <c r="H6" s="3">
        <f ca="1">SUMIFS(operations[Amount],operations[Category],Expenses9[[#This Row],[Category]],operations[Month],'1'!$B$12)</f>
        <v>-100</v>
      </c>
      <c r="J6" t="s">
        <v>28</v>
      </c>
      <c r="K6" s="4">
        <f ca="1">SUMIFS(operations[Amount],operations[Category],Table916283236404448[[#This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SUMIFS(operations[Amount],operations[Bank],raports_9[[#This Row],[Bank]],operations[Product],raports_9[[#This Row],[Product]],operations[Month],$B$12)</f>
        <v>0</v>
      </c>
      <c r="E7" s="4">
        <f ca="1">raports_9[[#This Row],[Opening balance]]+raports_9[[#This Row],[Operation]]</f>
        <v>200</v>
      </c>
      <c r="G7" t="s">
        <v>19</v>
      </c>
      <c r="H7" s="3">
        <f ca="1">SUMIFS(operations[Amount],operations[Category],Expenses9[[#This Row],[Category]],operations[Month],'1'!$B$12)</f>
        <v>-150</v>
      </c>
      <c r="J7" t="s">
        <v>29</v>
      </c>
      <c r="K7" s="4">
        <f ca="1">SUMIFS(operations[Amount],operations[Category],Table916283236404448[[#This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SUMIFS(operations[Amount],operations[Bank],raports_9[[#This Row],[Bank]],operations[Product],raports_9[[#This Row],[Product]],operations[Month],$B$12)</f>
        <v>0</v>
      </c>
      <c r="E8" s="4">
        <f ca="1">raports_9[[#This Row],[Opening balance]]+raports_9[[#This Row],[Operation]]</f>
        <v>30</v>
      </c>
      <c r="G8" t="s">
        <v>37</v>
      </c>
      <c r="H8" s="4">
        <f ca="1">SUBTOTAL(109,Expenses9[Total])</f>
        <v>-4130</v>
      </c>
      <c r="J8" t="s">
        <v>30</v>
      </c>
      <c r="K8" s="4">
        <f ca="1">SUMIFS(operations[Amount],operations[Category],Table916283236404448[[#This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 t="e">
        <f ca="1">SUBTOTAL(109,raports_9[Opening balance])</f>
        <v>#REF!</v>
      </c>
      <c r="D9" s="4">
        <f ca="1">SUBTOTAL(109,raports_9[Operation])</f>
        <v>1751.5</v>
      </c>
      <c r="E9" s="4" t="e">
        <f ca="1">SUBTOTAL(109,raports_9[Closing balance])</f>
        <v>#REF!</v>
      </c>
      <c r="J9" t="s">
        <v>26</v>
      </c>
      <c r="K9" s="4">
        <f ca="1">SUMIFS(operations[Amount],operations[Category],Table916283236404448[[#This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SUMIFS(operations[Amount],operations[Category],Table916283236404448[[#This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SUMIFS(operations[Amount],operations[Category],Table916283236404448[[#This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9</v>
      </c>
      <c r="J12" t="s">
        <v>37</v>
      </c>
      <c r="K12" s="4">
        <f ca="1">SUBTOTAL(109,Table916283236404448[Total])</f>
        <v>5475.5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SUMIFS(operations[Amount],operations[Type],balance_9[[#This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SUMIFS(operations[Amount],operations[Type],balance_9[[#This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SUMIFS(operations[Amount],operations[Type],balance_9[[#This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SUBTOTAL(109,balance_9[Total])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E58E-0857-4324-B325-4CBC7BCFC748}">
  <dimension ref="A1:N18"/>
  <sheetViews>
    <sheetView workbookViewId="0">
      <selection activeCell="E22" sqref="E22"/>
    </sheetView>
  </sheetViews>
  <sheetFormatPr defaultRowHeight="15" x14ac:dyDescent="0.25"/>
  <cols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 t="e" cm="1">
        <f t="array" aca="1" ref="C2" ca="1">INDIRECT("raport_"&amp;$B$12-1&amp;"[@[Closing balance ]]")</f>
        <v>#REF!</v>
      </c>
      <c r="D2" s="4">
        <f ca="1">SUMIFS(operations[Amount],operations[Bank],raports_10[[#This Row],[Bank]],operations[Product],raports_10[[#This Row],[Product]],operations[Month],$B$12)</f>
        <v>0</v>
      </c>
      <c r="E2" s="4" t="e">
        <f ca="1">raports_10[[#This Row],[Opening balance]]+raports_10[[#This Row],[Operation]]</f>
        <v>#REF!</v>
      </c>
      <c r="G2" t="s">
        <v>18</v>
      </c>
      <c r="H2" s="3">
        <f ca="1">SUMIFS(operations[Amount],operations[Category],Expenses10[[#This Row],[Category]],operations[Month],'1'!$B$12)</f>
        <v>-2000</v>
      </c>
      <c r="J2" t="s">
        <v>24</v>
      </c>
      <c r="K2" s="4"/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SUMIFS(operations[Amount],operations[Bank],raports_10[[#This Row],[Bank]],operations[Product],raports_10[[#This Row],[Product]],operations[Month],$B$12)</f>
        <v>0</v>
      </c>
      <c r="E3" s="4">
        <f ca="1">raports_10[[#This Row],[Opening balance]]+raports_10[[#This Row],[Operation]]</f>
        <v>10.5</v>
      </c>
      <c r="G3" t="s">
        <v>22</v>
      </c>
      <c r="H3" s="3">
        <f ca="1">SUMIFS(operations[Amount],operations[Category],Expenses10[[#This Row],[Category]],operations[Month],'1'!$B$12)</f>
        <v>-80</v>
      </c>
      <c r="J3" t="s">
        <v>23</v>
      </c>
      <c r="K3" s="4">
        <f ca="1">SUMIFS(operations[Amount],operations[Category],Table91628323640444852[[#This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SUMIFS(operations[Amount],operations[Bank],raports_10[[#This Row],[Bank]],operations[Product],raports_10[[#This Row],[Product]],operations[Month],$B$12)</f>
        <v>1690</v>
      </c>
      <c r="E4" s="4">
        <f ca="1">raports_10[[#This Row],[Opening balance]]+raports_10[[#This Row],[Operation]]</f>
        <v>2290</v>
      </c>
      <c r="G4" t="s">
        <v>20</v>
      </c>
      <c r="H4" s="3">
        <f ca="1">SUMIFS(operations[Amount],operations[Category],Expenses10[[#This Row],[Category]],operations[Month],'1'!$B$12)</f>
        <v>-85</v>
      </c>
      <c r="J4" t="s">
        <v>16</v>
      </c>
      <c r="K4" s="4">
        <f ca="1">SUMIFS(operations[Amount],operations[Category],Table91628323640444852[[#This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SUMIFS(operations[Amount],operations[Bank],raports_10[[#This Row],[Bank]],operations[Product],raports_10[[#This Row],[Product]],operations[Month],$B$12)</f>
        <v>-20</v>
      </c>
      <c r="E5" s="4">
        <f ca="1">raports_10[[#This Row],[Opening balance]]+raports_10[[#This Row],[Operation]]</f>
        <v>-20</v>
      </c>
      <c r="G5" t="s">
        <v>17</v>
      </c>
      <c r="H5" s="3">
        <f ca="1">SUMIFS(operations[Amount],operations[Category],Expenses10[[#This Row],[Category]],operations[Month],'1'!$B$12)</f>
        <v>-1715</v>
      </c>
      <c r="J5" t="s">
        <v>25</v>
      </c>
      <c r="K5" s="4">
        <f ca="1">SUMIFS(operations[Amount],operations[Category],Table91628323640444852[[#This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SUMIFS(operations[Amount],operations[Bank],raports_10[[#This Row],[Bank]],operations[Product],raports_10[[#This Row],[Product]],operations[Month],$B$12)</f>
        <v>0</v>
      </c>
      <c r="E6" s="4">
        <f ca="1">raports_10[[#This Row],[Opening balance]]+raports_10[[#This Row],[Operation]]</f>
        <v>2000</v>
      </c>
      <c r="G6" t="s">
        <v>21</v>
      </c>
      <c r="H6" s="3">
        <f ca="1">SUMIFS(operations[Amount],operations[Category],Expenses10[[#This Row],[Category]],operations[Month],'1'!$B$12)</f>
        <v>-100</v>
      </c>
      <c r="J6" t="s">
        <v>28</v>
      </c>
      <c r="K6" s="4">
        <f ca="1">SUMIFS(operations[Amount],operations[Category],Table91628323640444852[[#This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SUMIFS(operations[Amount],operations[Bank],raports_10[[#This Row],[Bank]],operations[Product],raports_10[[#This Row],[Product]],operations[Month],$B$12)</f>
        <v>0</v>
      </c>
      <c r="E7" s="4">
        <f ca="1">raports_10[[#This Row],[Opening balance]]+raports_10[[#This Row],[Operation]]</f>
        <v>200</v>
      </c>
      <c r="G7" t="s">
        <v>19</v>
      </c>
      <c r="H7" s="3">
        <f ca="1">SUMIFS(operations[Amount],operations[Category],Expenses10[[#This Row],[Category]],operations[Month],'1'!$B$12)</f>
        <v>-150</v>
      </c>
      <c r="J7" t="s">
        <v>29</v>
      </c>
      <c r="K7" s="4">
        <f ca="1">SUMIFS(operations[Amount],operations[Category],Table91628323640444852[[#This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SUMIFS(operations[Amount],operations[Bank],raports_10[[#This Row],[Bank]],operations[Product],raports_10[[#This Row],[Product]],operations[Month],$B$12)</f>
        <v>0</v>
      </c>
      <c r="E8" s="4">
        <f ca="1">raports_10[[#This Row],[Opening balance]]+raports_10[[#This Row],[Operation]]</f>
        <v>30</v>
      </c>
      <c r="G8" t="s">
        <v>37</v>
      </c>
      <c r="H8" s="4">
        <f ca="1">SUBTOTAL(109,Expenses10[Total])</f>
        <v>-4130</v>
      </c>
      <c r="J8" t="s">
        <v>30</v>
      </c>
      <c r="K8" s="4">
        <f ca="1">SUMIFS(operations[Amount],operations[Category],Table91628323640444852[[#This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 t="e">
        <f ca="1">SUBTOTAL(109,raports_10[Opening balance])</f>
        <v>#REF!</v>
      </c>
      <c r="D9" s="4">
        <f ca="1">SUBTOTAL(109,raports_10[Operation])</f>
        <v>1670</v>
      </c>
      <c r="E9" s="4" t="e">
        <f ca="1">SUBTOTAL(109,raports_10[Closing balance])</f>
        <v>#REF!</v>
      </c>
      <c r="J9" t="s">
        <v>26</v>
      </c>
      <c r="K9" s="4">
        <f ca="1">SUMIFS(operations[Amount],operations[Category],Table91628323640444852[[#This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SUMIFS(operations[Amount],operations[Category],Table91628323640444852[[#This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SUMIFS(operations[Amount],operations[Category],Table91628323640444852[[#This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10</v>
      </c>
      <c r="J12" t="s">
        <v>37</v>
      </c>
      <c r="K12" s="4">
        <f ca="1">SUBTOTAL(109,Table91628323640444852[Total])</f>
        <v>5475.5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SUMIFS(operations[Amount],operations[Type],balance_10[[#This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SUMIFS(operations[Amount],operations[Type],balance_10[[#This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SUMIFS(operations[Amount],operations[Type],balance_10[[#This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SUBTOTAL(109,balance_10[Total])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DEF1-09D9-4E24-8C95-38A6002E93BC}">
  <dimension ref="A1:N18"/>
  <sheetViews>
    <sheetView workbookViewId="0">
      <selection activeCell="G13" sqref="G13"/>
    </sheetView>
  </sheetViews>
  <sheetFormatPr defaultRowHeight="15" x14ac:dyDescent="0.25"/>
  <cols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 t="e" cm="1">
        <f t="array" aca="1" ref="C2" ca="1">INDIRECT("raport_"&amp;$B$12-1&amp;"[@[Closing balance ]]")</f>
        <v>#REF!</v>
      </c>
      <c r="D2" s="4">
        <f ca="1">SUMIFS(operations[Amount],operations[Bank],raports_8[[#This Row],[Bank]],operations[Product],raports_8[[#This Row],[Product]],operations[Month],$B$12)</f>
        <v>200</v>
      </c>
      <c r="E2" s="4" t="e">
        <f ca="1">raports_8[[#This Row],[Opening balance]]+raports_8[[#This Row],[Operation]]</f>
        <v>#REF!</v>
      </c>
      <c r="G2" t="s">
        <v>18</v>
      </c>
      <c r="H2" s="3">
        <f ca="1">SUMIFS(operations[Amount],operations[Category],Expenses8[[#This Row],[Category]],operations[Month],'1'!$B$12)</f>
        <v>-2000</v>
      </c>
      <c r="J2" t="s">
        <v>24</v>
      </c>
      <c r="K2" s="4"/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SUMIFS(operations[Amount],operations[Bank],raports_8[[#This Row],[Bank]],operations[Product],raports_8[[#This Row],[Product]],operations[Month],$B$12)</f>
        <v>-300</v>
      </c>
      <c r="E3" s="4">
        <f ca="1">raports_8[[#This Row],[Opening balance]]+raports_8[[#This Row],[Operation]]</f>
        <v>-289.5</v>
      </c>
      <c r="G3" t="s">
        <v>22</v>
      </c>
      <c r="H3" s="3">
        <f ca="1">SUMIFS(operations[Amount],operations[Category],Expenses8[[#This Row],[Category]],operations[Month],'1'!$B$12)</f>
        <v>-80</v>
      </c>
      <c r="J3" t="s">
        <v>23</v>
      </c>
      <c r="K3" s="4">
        <f ca="1">SUMIFS(operations[Amount],operations[Category],Table9162832364044[[#This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SUMIFS(operations[Amount],operations[Bank],raports_8[[#This Row],[Bank]],operations[Product],raports_8[[#This Row],[Product]],operations[Month],$B$12)</f>
        <v>1475</v>
      </c>
      <c r="E4" s="4">
        <f ca="1">raports_8[[#This Row],[Opening balance]]+raports_8[[#This Row],[Operation]]</f>
        <v>2075</v>
      </c>
      <c r="G4" t="s">
        <v>20</v>
      </c>
      <c r="H4" s="3">
        <f ca="1">SUMIFS(operations[Amount],operations[Category],Expenses8[[#This Row],[Category]],operations[Month],'1'!$B$12)</f>
        <v>-85</v>
      </c>
      <c r="J4" t="s">
        <v>16</v>
      </c>
      <c r="K4" s="4">
        <f ca="1">SUMIFS(operations[Amount],operations[Category],Table9162832364044[[#This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SUMIFS(operations[Amount],operations[Bank],raports_8[[#This Row],[Bank]],operations[Product],raports_8[[#This Row],[Product]],operations[Month],$B$12)</f>
        <v>33</v>
      </c>
      <c r="E5" s="4">
        <f ca="1">raports_8[[#This Row],[Opening balance]]+raports_8[[#This Row],[Operation]]</f>
        <v>33</v>
      </c>
      <c r="G5" t="s">
        <v>17</v>
      </c>
      <c r="H5" s="3">
        <f ca="1">SUMIFS(operations[Amount],operations[Category],Expenses8[[#This Row],[Category]],operations[Month],'1'!$B$12)</f>
        <v>-1715</v>
      </c>
      <c r="J5" t="s">
        <v>25</v>
      </c>
      <c r="K5" s="4">
        <f ca="1">SUMIFS(operations[Amount],operations[Category],Table9162832364044[[#This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SUMIFS(operations[Amount],operations[Bank],raports_8[[#This Row],[Bank]],operations[Product],raports_8[[#This Row],[Product]],operations[Month],$B$12)</f>
        <v>-1020</v>
      </c>
      <c r="E6" s="4">
        <f ca="1">raports_8[[#This Row],[Opening balance]]+raports_8[[#This Row],[Operation]]</f>
        <v>980</v>
      </c>
      <c r="G6" t="s">
        <v>21</v>
      </c>
      <c r="H6" s="3">
        <f ca="1">SUMIFS(operations[Amount],operations[Category],Expenses8[[#This Row],[Category]],operations[Month],'1'!$B$12)</f>
        <v>-100</v>
      </c>
      <c r="J6" t="s">
        <v>28</v>
      </c>
      <c r="K6" s="4">
        <f ca="1">SUMIFS(operations[Amount],operations[Category],Table9162832364044[[#This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SUMIFS(operations[Amount],operations[Bank],raports_8[[#This Row],[Bank]],operations[Product],raports_8[[#This Row],[Product]],operations[Month],$B$12)</f>
        <v>0</v>
      </c>
      <c r="E7" s="4">
        <f ca="1">raports_8[[#This Row],[Opening balance]]+raports_8[[#This Row],[Operation]]</f>
        <v>200</v>
      </c>
      <c r="G7" t="s">
        <v>19</v>
      </c>
      <c r="H7" s="3">
        <f ca="1">SUMIFS(operations[Amount],operations[Category],Expenses8[[#This Row],[Category]],operations[Month],'1'!$B$12)</f>
        <v>-150</v>
      </c>
      <c r="J7" t="s">
        <v>29</v>
      </c>
      <c r="K7" s="4">
        <f ca="1">SUMIFS(operations[Amount],operations[Category],Table9162832364044[[#This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SUMIFS(operations[Amount],operations[Bank],raports_8[[#This Row],[Bank]],operations[Product],raports_8[[#This Row],[Product]],operations[Month],$B$12)</f>
        <v>2.5</v>
      </c>
      <c r="E8" s="4">
        <f ca="1">raports_8[[#This Row],[Opening balance]]+raports_8[[#This Row],[Operation]]</f>
        <v>32.5</v>
      </c>
      <c r="G8" t="s">
        <v>37</v>
      </c>
      <c r="H8" s="4">
        <f ca="1">SUBTOTAL(109,Expenses8[Total])</f>
        <v>-4130</v>
      </c>
      <c r="J8" t="s">
        <v>30</v>
      </c>
      <c r="K8" s="4">
        <f ca="1">SUMIFS(operations[Amount],operations[Category],Table9162832364044[[#This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 t="e">
        <f ca="1">SUBTOTAL(109,raports_8[Opening balance])</f>
        <v>#REF!</v>
      </c>
      <c r="D9" s="4">
        <f ca="1">SUBTOTAL(109,raports_8[Operation])</f>
        <v>390.5</v>
      </c>
      <c r="E9" s="4" t="e">
        <f ca="1">SUBTOTAL(109,raports_8[Closing balance])</f>
        <v>#REF!</v>
      </c>
      <c r="J9" t="s">
        <v>26</v>
      </c>
      <c r="K9" s="4">
        <f ca="1">SUMIFS(operations[Amount],operations[Category],Table9162832364044[[#This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SUMIFS(operations[Amount],operations[Category],Table9162832364044[[#This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SUMIFS(operations[Amount],operations[Category],Table9162832364044[[#This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8</v>
      </c>
      <c r="J12" t="s">
        <v>37</v>
      </c>
      <c r="K12" s="4">
        <f ca="1">SUBTOTAL(109,Table9162832364044[Total])</f>
        <v>5475.5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SUMIFS(operations[Amount],operations[Type],balance_8[[#This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SUMIFS(operations[Amount],operations[Type],balance_8[[#This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SUMIFS(operations[Amount],operations[Type],balance_8[[#This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SUBTOTAL(109,balance_8[Total])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C789-D7B5-4DFC-A71A-5B52ABC45E61}">
  <dimension ref="A1:N18"/>
  <sheetViews>
    <sheetView workbookViewId="0">
      <selection activeCell="G13" sqref="G13"/>
    </sheetView>
  </sheetViews>
  <sheetFormatPr defaultRowHeight="15" x14ac:dyDescent="0.25"/>
  <cols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 t="e" cm="1">
        <f t="array" aca="1" ref="C2" ca="1">INDIRECT("raport_"&amp;$B$12-1&amp;"[@[Closing balance ]]")</f>
        <v>#REF!</v>
      </c>
      <c r="D2" s="4">
        <f ca="1">SUMIFS(operations[Amount],operations[Bank],raports_7[[#This Row],[Bank]],operations[Product],raports_7[[#This Row],[Product]],operations[Month],$B$12)</f>
        <v>-100</v>
      </c>
      <c r="E2" s="4" t="e">
        <f ca="1">raports_7[[#This Row],[Opening balance]]+raports_7[[#This Row],[Operation]]</f>
        <v>#REF!</v>
      </c>
      <c r="G2" t="s">
        <v>18</v>
      </c>
      <c r="H2" s="3">
        <f ca="1">SUMIFS(operations[Amount],operations[Category],Expenses7[[#This Row],[Category]],operations[Month],'1'!$B$12)</f>
        <v>-2000</v>
      </c>
      <c r="J2" t="s">
        <v>24</v>
      </c>
      <c r="K2" s="4"/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SUMIFS(operations[Amount],operations[Bank],raports_7[[#This Row],[Bank]],operations[Product],raports_7[[#This Row],[Product]],operations[Month],$B$12)</f>
        <v>1050</v>
      </c>
      <c r="E3" s="4">
        <f ca="1">raports_7[[#This Row],[Opening balance]]+raports_7[[#This Row],[Operation]]</f>
        <v>1060.5</v>
      </c>
      <c r="G3" t="s">
        <v>22</v>
      </c>
      <c r="H3" s="3">
        <f ca="1">SUMIFS(operations[Amount],operations[Category],Expenses7[[#This Row],[Category]],operations[Month],'1'!$B$12)</f>
        <v>-80</v>
      </c>
      <c r="J3" t="s">
        <v>23</v>
      </c>
      <c r="K3" s="4">
        <f ca="1">SUMIFS(operations[Amount],operations[Category],Table91628323640[[#This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SUMIFS(operations[Amount],operations[Bank],raports_7[[#This Row],[Bank]],operations[Product],raports_7[[#This Row],[Product]],operations[Month],$B$12)</f>
        <v>1010</v>
      </c>
      <c r="E4" s="4">
        <f ca="1">raports_7[[#This Row],[Opening balance]]+raports_7[[#This Row],[Operation]]</f>
        <v>1610</v>
      </c>
      <c r="G4" t="s">
        <v>20</v>
      </c>
      <c r="H4" s="3">
        <f ca="1">SUMIFS(operations[Amount],operations[Category],Expenses7[[#This Row],[Category]],operations[Month],'1'!$B$12)</f>
        <v>-85</v>
      </c>
      <c r="J4" t="s">
        <v>16</v>
      </c>
      <c r="K4" s="4">
        <f ca="1">SUMIFS(operations[Amount],operations[Category],Table91628323640[[#This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SUMIFS(operations[Amount],operations[Bank],raports_7[[#This Row],[Bank]],operations[Product],raports_7[[#This Row],[Product]],operations[Month],$B$12)</f>
        <v>1165</v>
      </c>
      <c r="E5" s="4">
        <f ca="1">raports_7[[#This Row],[Opening balance]]+raports_7[[#This Row],[Operation]]</f>
        <v>1165</v>
      </c>
      <c r="G5" t="s">
        <v>17</v>
      </c>
      <c r="H5" s="3">
        <f ca="1">SUMIFS(operations[Amount],operations[Category],Expenses7[[#This Row],[Category]],operations[Month],'1'!$B$12)</f>
        <v>-1715</v>
      </c>
      <c r="J5" t="s">
        <v>25</v>
      </c>
      <c r="K5" s="4">
        <f ca="1">SUMIFS(operations[Amount],operations[Category],Table91628323640[[#This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SUMIFS(operations[Amount],operations[Bank],raports_7[[#This Row],[Bank]],operations[Product],raports_7[[#This Row],[Product]],operations[Month],$B$12)</f>
        <v>-180</v>
      </c>
      <c r="E6" s="4">
        <f ca="1">raports_7[[#This Row],[Opening balance]]+raports_7[[#This Row],[Operation]]</f>
        <v>1820</v>
      </c>
      <c r="G6" t="s">
        <v>21</v>
      </c>
      <c r="H6" s="3">
        <f ca="1">SUMIFS(operations[Amount],operations[Category],Expenses7[[#This Row],[Category]],operations[Month],'1'!$B$12)</f>
        <v>-100</v>
      </c>
      <c r="J6" t="s">
        <v>28</v>
      </c>
      <c r="K6" s="4">
        <f ca="1">SUMIFS(operations[Amount],operations[Category],Table91628323640[[#This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SUMIFS(operations[Amount],operations[Bank],raports_7[[#This Row],[Bank]],operations[Product],raports_7[[#This Row],[Product]],operations[Month],$B$12)</f>
        <v>-30</v>
      </c>
      <c r="E7" s="4">
        <f ca="1">raports_7[[#This Row],[Opening balance]]+raports_7[[#This Row],[Operation]]</f>
        <v>170</v>
      </c>
      <c r="G7" t="s">
        <v>19</v>
      </c>
      <c r="H7" s="3">
        <f ca="1">SUMIFS(operations[Amount],operations[Category],Expenses7[[#This Row],[Category]],operations[Month],'1'!$B$12)</f>
        <v>-150</v>
      </c>
      <c r="J7" t="s">
        <v>29</v>
      </c>
      <c r="K7" s="4">
        <f ca="1">SUMIFS(operations[Amount],operations[Category],Table91628323640[[#This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SUMIFS(operations[Amount],operations[Bank],raports_7[[#This Row],[Bank]],operations[Product],raports_7[[#This Row],[Product]],operations[Month],$B$12)</f>
        <v>0</v>
      </c>
      <c r="E8" s="4">
        <f ca="1">raports_7[[#This Row],[Opening balance]]+raports_7[[#This Row],[Operation]]</f>
        <v>30</v>
      </c>
      <c r="G8" t="s">
        <v>37</v>
      </c>
      <c r="H8" s="4">
        <f ca="1">SUBTOTAL(109,Expenses7[Total])</f>
        <v>-4130</v>
      </c>
      <c r="J8" t="s">
        <v>30</v>
      </c>
      <c r="K8" s="4">
        <f ca="1">SUMIFS(operations[Amount],operations[Category],Table91628323640[[#This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 t="e">
        <f ca="1">SUBTOTAL(109,raports_7[Opening balance])</f>
        <v>#REF!</v>
      </c>
      <c r="D9" s="4">
        <f ca="1">SUBTOTAL(109,raports_7[Operation])</f>
        <v>2915</v>
      </c>
      <c r="E9" s="4" t="e">
        <f ca="1">SUBTOTAL(109,raports_7[Closing balance])</f>
        <v>#REF!</v>
      </c>
      <c r="J9" t="s">
        <v>26</v>
      </c>
      <c r="K9" s="4">
        <f ca="1">SUMIFS(operations[Amount],operations[Category],Table91628323640[[#This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SUMIFS(operations[Amount],operations[Category],Table91628323640[[#This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SUMIFS(operations[Amount],operations[Category],Table91628323640[[#This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7</v>
      </c>
      <c r="J12" t="s">
        <v>37</v>
      </c>
      <c r="K12" s="4">
        <f ca="1">SUBTOTAL(109,Table91628323640[Total])</f>
        <v>5475.5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SUMIFS(operations[Amount],operations[Type],balance_7[[#This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SUMIFS(operations[Amount],operations[Type],balance_7[[#This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SUMIFS(operations[Amount],operations[Type],balance_7[[#This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SUBTOTAL(109,balance_7[Total])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B052-E74B-49E1-A81C-B73B97980D51}">
  <dimension ref="A1:N18"/>
  <sheetViews>
    <sheetView workbookViewId="0">
      <selection activeCell="G13" sqref="G13"/>
    </sheetView>
  </sheetViews>
  <sheetFormatPr defaultRowHeight="15" x14ac:dyDescent="0.25"/>
  <cols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 t="e" cm="1">
        <f t="array" aca="1" ref="C2" ca="1">INDIRECT("raports_"&amp;$B$12-1&amp;"[@[Closing balance ]]")</f>
        <v>#REF!</v>
      </c>
      <c r="D2" s="4">
        <f ca="1">SUMIFS(operations[Amount],operations[Bank],raports_5[[#This Row],[Bank]],operations[Product],raports_5[[#This Row],[Product]],operations[Month],$B$12)</f>
        <v>250</v>
      </c>
      <c r="E2" s="4" t="e">
        <f ca="1">raports_5[[#This Row],[Opening balance]]+raports_5[[#This Row],[Operation]]</f>
        <v>#REF!</v>
      </c>
      <c r="G2" t="s">
        <v>18</v>
      </c>
      <c r="H2" s="3">
        <f ca="1">SUMIFS(operations[Amount],operations[Category],Expenses6[[#This Row],[Category]],operations[Month],'1'!$B$12)</f>
        <v>-2000</v>
      </c>
      <c r="J2" t="s">
        <v>24</v>
      </c>
      <c r="K2" s="4"/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SUMIFS(operations[Amount],operations[Bank],raports_5[[#This Row],[Bank]],operations[Product],raports_5[[#This Row],[Product]],operations[Month],$B$12)</f>
        <v>0</v>
      </c>
      <c r="E3" s="4">
        <f ca="1">raports_5[[#This Row],[Opening balance]]+raports_5[[#This Row],[Operation]]</f>
        <v>10.5</v>
      </c>
      <c r="G3" t="s">
        <v>22</v>
      </c>
      <c r="H3" s="3">
        <f ca="1">SUMIFS(operations[Amount],operations[Category],Expenses6[[#This Row],[Category]],operations[Month],'1'!$B$12)</f>
        <v>-80</v>
      </c>
      <c r="J3" t="s">
        <v>23</v>
      </c>
      <c r="K3" s="4">
        <f ca="1">SUMIFS(operations[Amount],operations[Category],Table916283236[[#This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SUMIFS(operations[Amount],operations[Bank],raports_5[[#This Row],[Bank]],operations[Product],raports_5[[#This Row],[Product]],operations[Month],$B$12)</f>
        <v>1420</v>
      </c>
      <c r="E4" s="4">
        <f ca="1">raports_5[[#This Row],[Opening balance]]+raports_5[[#This Row],[Operation]]</f>
        <v>2020</v>
      </c>
      <c r="G4" t="s">
        <v>20</v>
      </c>
      <c r="H4" s="3">
        <f ca="1">SUMIFS(operations[Amount],operations[Category],Expenses6[[#This Row],[Category]],operations[Month],'1'!$B$12)</f>
        <v>-85</v>
      </c>
      <c r="J4" t="s">
        <v>16</v>
      </c>
      <c r="K4" s="4">
        <f ca="1">SUMIFS(operations[Amount],operations[Category],Table916283236[[#This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SUMIFS(operations[Amount],operations[Bank],raports_5[[#This Row],[Bank]],operations[Product],raports_5[[#This Row],[Product]],operations[Month],$B$12)</f>
        <v>-300</v>
      </c>
      <c r="E5" s="4">
        <f ca="1">raports_5[[#This Row],[Opening balance]]+raports_5[[#This Row],[Operation]]</f>
        <v>-300</v>
      </c>
      <c r="G5" t="s">
        <v>17</v>
      </c>
      <c r="H5" s="3">
        <f ca="1">SUMIFS(operations[Amount],operations[Category],Expenses6[[#This Row],[Category]],operations[Month],'1'!$B$12)</f>
        <v>-1715</v>
      </c>
      <c r="J5" t="s">
        <v>25</v>
      </c>
      <c r="K5" s="4">
        <f ca="1">SUMIFS(operations[Amount],operations[Category],Table916283236[[#This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SUMIFS(operations[Amount],operations[Bank],raports_5[[#This Row],[Bank]],operations[Product],raports_5[[#This Row],[Product]],operations[Month],$B$12)</f>
        <v>0</v>
      </c>
      <c r="E6" s="4">
        <f ca="1">raports_5[[#This Row],[Opening balance]]+raports_5[[#This Row],[Operation]]</f>
        <v>2000</v>
      </c>
      <c r="G6" t="s">
        <v>21</v>
      </c>
      <c r="H6" s="3">
        <f ca="1">SUMIFS(operations[Amount],operations[Category],Expenses6[[#This Row],[Category]],operations[Month],'1'!$B$12)</f>
        <v>-100</v>
      </c>
      <c r="J6" t="s">
        <v>28</v>
      </c>
      <c r="K6" s="4">
        <f ca="1">SUMIFS(operations[Amount],operations[Category],Table916283236[[#This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SUMIFS(operations[Amount],operations[Bank],raports_5[[#This Row],[Bank]],operations[Product],raports_5[[#This Row],[Product]],operations[Month],$B$12)</f>
        <v>0</v>
      </c>
      <c r="E7" s="4">
        <f ca="1">raports_5[[#This Row],[Opening balance]]+raports_5[[#This Row],[Operation]]</f>
        <v>200</v>
      </c>
      <c r="G7" t="s">
        <v>19</v>
      </c>
      <c r="H7" s="3">
        <f ca="1">SUMIFS(operations[Amount],operations[Category],Expenses6[[#This Row],[Category]],operations[Month],'1'!$B$12)</f>
        <v>-150</v>
      </c>
      <c r="J7" t="s">
        <v>29</v>
      </c>
      <c r="K7" s="4">
        <f ca="1">SUMIFS(operations[Amount],operations[Category],Table916283236[[#This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SUMIFS(operations[Amount],operations[Bank],raports_5[[#This Row],[Bank]],operations[Product],raports_5[[#This Row],[Product]],operations[Month],$B$12)</f>
        <v>-200</v>
      </c>
      <c r="E8" s="4">
        <f ca="1">raports_5[[#This Row],[Opening balance]]+raports_5[[#This Row],[Operation]]</f>
        <v>-170</v>
      </c>
      <c r="G8" t="s">
        <v>37</v>
      </c>
      <c r="H8" s="4">
        <f ca="1">SUBTOTAL(109,Expenses6[Total])</f>
        <v>-4130</v>
      </c>
      <c r="J8" t="s">
        <v>30</v>
      </c>
      <c r="K8" s="4">
        <f ca="1">SUMIFS(operations[Amount],operations[Category],Table916283236[[#This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 t="e">
        <f ca="1">SUBTOTAL(109,raports_5[Opening balance])</f>
        <v>#REF!</v>
      </c>
      <c r="D9" s="4">
        <f ca="1">SUBTOTAL(109,raports_5[Operation])</f>
        <v>1170</v>
      </c>
      <c r="E9" s="4" t="e">
        <f ca="1">SUBTOTAL(109,raports_5[Closing balance])</f>
        <v>#REF!</v>
      </c>
      <c r="J9" t="s">
        <v>26</v>
      </c>
      <c r="K9" s="4">
        <f ca="1">SUMIFS(operations[Amount],operations[Category],Table916283236[[#This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SUMIFS(operations[Amount],operations[Category],Table916283236[[#This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SUMIFS(operations[Amount],operations[Category],Table916283236[[#This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6</v>
      </c>
      <c r="J12" t="s">
        <v>37</v>
      </c>
      <c r="K12" s="4">
        <f ca="1">SUBTOTAL(109,Table916283236[Total])</f>
        <v>5475.5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SUMIFS(operations[Amount],operations[Type],balance_6[[#This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SUMIFS(operations[Amount],operations[Type],balance_6[[#This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SUMIFS(operations[Amount],operations[Type],balance_6[[#This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SUBTOTAL(109,balance_6[Total])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BBBC5-EBF0-4902-8FB7-1057CC14E42A}">
  <dimension ref="A1:N18"/>
  <sheetViews>
    <sheetView workbookViewId="0">
      <selection activeCell="G13" sqref="G13"/>
    </sheetView>
  </sheetViews>
  <sheetFormatPr defaultRowHeight="15" x14ac:dyDescent="0.25"/>
  <cols>
    <col min="1" max="1" width="17.5703125" customWidth="1"/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 t="e" cm="1">
        <f t="array" aca="1" ref="C2" ca="1">INDIRECT("raport_"&amp;$B$12-1&amp;"[@[Closing balance ]]")</f>
        <v>#REF!</v>
      </c>
      <c r="D2" s="4">
        <f ca="1">SUMIFS(operations[Amount],operations[Bank],raports_6[[#This Row],[Bank]],operations[Product],raports_6[[#This Row],[Product]],operations[Month],$B$12)</f>
        <v>-50</v>
      </c>
      <c r="E2" s="4" t="e">
        <f ca="1">raports_6[[#This Row],[Opening balance]]+raports_6[[#This Row],[Operation]]</f>
        <v>#REF!</v>
      </c>
      <c r="G2" t="s">
        <v>18</v>
      </c>
      <c r="H2" s="3">
        <f ca="1">SUMIFS(operations[Amount],operations[Category],Expenses5[[#This Row],[Category]],operations[Month],'1'!$B$12)</f>
        <v>-2000</v>
      </c>
      <c r="J2" t="s">
        <v>24</v>
      </c>
      <c r="K2" s="4"/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SUMIFS(operations[Amount],operations[Bank],raports_6[[#This Row],[Bank]],operations[Product],raports_6[[#This Row],[Product]],operations[Month],$B$12)</f>
        <v>0</v>
      </c>
      <c r="E3" s="4">
        <f ca="1">raports_6[[#This Row],[Opening balance]]+raports_6[[#This Row],[Operation]]</f>
        <v>10.5</v>
      </c>
      <c r="G3" t="s">
        <v>22</v>
      </c>
      <c r="H3" s="3">
        <f ca="1">SUMIFS(operations[Amount],operations[Category],Expenses5[[#This Row],[Category]],operations[Month],'1'!$B$12)</f>
        <v>-80</v>
      </c>
      <c r="J3" t="s">
        <v>23</v>
      </c>
      <c r="K3" s="4">
        <f ca="1">SUMIFS(operations[Amount],operations[Category],Table9162832[[#This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SUMIFS(operations[Amount],operations[Bank],raports_6[[#This Row],[Bank]],operations[Product],raports_6[[#This Row],[Product]],operations[Month],$B$12)</f>
        <v>2328.61</v>
      </c>
      <c r="E4" s="4">
        <f ca="1">raports_6[[#This Row],[Opening balance]]+raports_6[[#This Row],[Operation]]</f>
        <v>2928.61</v>
      </c>
      <c r="G4" t="s">
        <v>20</v>
      </c>
      <c r="H4" s="3">
        <f ca="1">SUMIFS(operations[Amount],operations[Category],Expenses5[[#This Row],[Category]],operations[Month],'1'!$B$12)</f>
        <v>-85</v>
      </c>
      <c r="J4" t="s">
        <v>16</v>
      </c>
      <c r="K4" s="4">
        <f ca="1">SUMIFS(operations[Amount],operations[Category],Table9162832[[#This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SUMIFS(operations[Amount],operations[Bank],raports_6[[#This Row],[Bank]],operations[Product],raports_6[[#This Row],[Product]],operations[Month],$B$12)</f>
        <v>-908.61</v>
      </c>
      <c r="E5" s="4">
        <f ca="1">raports_6[[#This Row],[Opening balance]]+raports_6[[#This Row],[Operation]]</f>
        <v>-908.61</v>
      </c>
      <c r="G5" t="s">
        <v>17</v>
      </c>
      <c r="H5" s="3">
        <f ca="1">SUMIFS(operations[Amount],operations[Category],Expenses5[[#This Row],[Category]],operations[Month],'1'!$B$12)</f>
        <v>-1715</v>
      </c>
      <c r="J5" t="s">
        <v>25</v>
      </c>
      <c r="K5" s="4">
        <f ca="1">SUMIFS(operations[Amount],operations[Category],Table9162832[[#This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SUMIFS(operations[Amount],operations[Bank],raports_6[[#This Row],[Bank]],operations[Product],raports_6[[#This Row],[Product]],operations[Month],$B$12)</f>
        <v>0</v>
      </c>
      <c r="E6" s="4">
        <f ca="1">raports_6[[#This Row],[Opening balance]]+raports_6[[#This Row],[Operation]]</f>
        <v>2000</v>
      </c>
      <c r="G6" t="s">
        <v>21</v>
      </c>
      <c r="H6" s="3">
        <f ca="1">SUMIFS(operations[Amount],operations[Category],Expenses5[[#This Row],[Category]],operations[Month],'1'!$B$12)</f>
        <v>-100</v>
      </c>
      <c r="J6" t="s">
        <v>28</v>
      </c>
      <c r="K6" s="4">
        <f ca="1">SUMIFS(operations[Amount],operations[Category],Table9162832[[#This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SUMIFS(operations[Amount],operations[Bank],raports_6[[#This Row],[Bank]],operations[Product],raports_6[[#This Row],[Product]],operations[Month],$B$12)</f>
        <v>0</v>
      </c>
      <c r="E7" s="4">
        <f ca="1">raports_6[[#This Row],[Opening balance]]+raports_6[[#This Row],[Operation]]</f>
        <v>200</v>
      </c>
      <c r="G7" t="s">
        <v>19</v>
      </c>
      <c r="H7" s="3">
        <f ca="1">SUMIFS(operations[Amount],operations[Category],Expenses5[[#This Row],[Category]],operations[Month],'1'!$B$12)</f>
        <v>-150</v>
      </c>
      <c r="J7" t="s">
        <v>29</v>
      </c>
      <c r="K7" s="4">
        <f ca="1">SUMIFS(operations[Amount],operations[Category],Table9162832[[#This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SUMIFS(operations[Amount],operations[Bank],raports_6[[#This Row],[Bank]],operations[Product],raports_6[[#This Row],[Product]],operations[Month],$B$12)</f>
        <v>-80</v>
      </c>
      <c r="E8" s="4">
        <f ca="1">raports_6[[#This Row],[Opening balance]]+raports_6[[#This Row],[Operation]]</f>
        <v>-50</v>
      </c>
      <c r="G8" t="s">
        <v>37</v>
      </c>
      <c r="H8" s="4">
        <f ca="1">SUBTOTAL(109,Expenses5[Total])</f>
        <v>-4130</v>
      </c>
      <c r="J8" t="s">
        <v>30</v>
      </c>
      <c r="K8" s="4">
        <f ca="1">SUMIFS(operations[Amount],operations[Category],Table9162832[[#This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 t="e">
        <f ca="1">SUBTOTAL(109,raports_6[Opening balance])</f>
        <v>#REF!</v>
      </c>
      <c r="D9" s="4">
        <f ca="1">SUBTOTAL(109,raports_6[Operation])</f>
        <v>1290</v>
      </c>
      <c r="E9" s="4" t="e">
        <f ca="1">SUBTOTAL(109,raports_6[Closing balance])</f>
        <v>#REF!</v>
      </c>
      <c r="J9" t="s">
        <v>26</v>
      </c>
      <c r="K9" s="4">
        <f ca="1">SUMIFS(operations[Amount],operations[Category],Table9162832[[#This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SUMIFS(operations[Amount],operations[Category],Table9162832[[#This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SUMIFS(operations[Amount],operations[Category],Table9162832[[#This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5</v>
      </c>
      <c r="J12" t="s">
        <v>37</v>
      </c>
      <c r="K12" s="4">
        <f ca="1">SUBTOTAL(109,Table9162832[Total])</f>
        <v>5475.5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SUMIFS(operations[Amount],operations[Type],balance_5[[#This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SUMIFS(operations[Amount],operations[Type],balance_5[[#This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SUMIFS(operations[Amount],operations[Type],balance_5[[#This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SUBTOTAL(109,balance_5[Total])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A115-D94A-4B39-A254-8DC83CBA557A}">
  <dimension ref="A1:N18"/>
  <sheetViews>
    <sheetView workbookViewId="0">
      <selection activeCell="G13" sqref="G13"/>
    </sheetView>
  </sheetViews>
  <sheetFormatPr defaultRowHeight="15" x14ac:dyDescent="0.25"/>
  <cols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 t="e" cm="1">
        <f t="array" aca="1" ref="C2" ca="1">INDIRECT("raports_"&amp;$B$12-1&amp;"[@[Closing balance ]]")</f>
        <v>#REF!</v>
      </c>
      <c r="D2" s="4">
        <f ca="1">SUMIFS(operations[Amount],operations[Bank],raports_3[[#This Row],[Bank]],operations[Product],raports_3[[#This Row],[Product]],operations[Month],$B$12)</f>
        <v>67.5</v>
      </c>
      <c r="E2" s="4" t="e">
        <f ca="1">raports_3[[#This Row],[Opening balance]]+raports_3[[#This Row],[Operation]]</f>
        <v>#REF!</v>
      </c>
      <c r="G2" t="s">
        <v>18</v>
      </c>
      <c r="H2" s="3">
        <f ca="1">SUMIFS(operations[Amount],operations[Category],Expenses3[[#This Row],[Category]],operations[Month],'1'!$B$12)</f>
        <v>-2000</v>
      </c>
      <c r="J2" t="s">
        <v>24</v>
      </c>
      <c r="K2" s="4"/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SUMIFS(operations[Amount],operations[Bank],raports_3[[#This Row],[Bank]],operations[Product],raports_3[[#This Row],[Product]],operations[Month],$B$12)</f>
        <v>5</v>
      </c>
      <c r="E3" s="4">
        <f ca="1">raports_3[[#This Row],[Opening balance]]+raports_3[[#This Row],[Operation]]</f>
        <v>15.5</v>
      </c>
      <c r="G3" t="s">
        <v>22</v>
      </c>
      <c r="H3" s="3">
        <f ca="1">SUMIFS(operations[Amount],operations[Category],Expenses3[[#This Row],[Category]],operations[Month],'1'!$B$12)</f>
        <v>-80</v>
      </c>
      <c r="J3" t="s">
        <v>23</v>
      </c>
      <c r="K3" s="4">
        <f ca="1">SUMIFS(operations[Amount],operations[Category],Table91624[[#This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SUMIFS(operations[Amount],operations[Bank],raports_3[[#This Row],[Bank]],operations[Product],raports_3[[#This Row],[Product]],operations[Month],$B$12)</f>
        <v>821.59999999999991</v>
      </c>
      <c r="E4" s="4">
        <f ca="1">raports_3[[#This Row],[Opening balance]]+raports_3[[#This Row],[Operation]]</f>
        <v>1421.6</v>
      </c>
      <c r="G4" t="s">
        <v>20</v>
      </c>
      <c r="H4" s="3">
        <f ca="1">SUMIFS(operations[Amount],operations[Category],Expenses3[[#This Row],[Category]],operations[Month],'1'!$B$12)</f>
        <v>-85</v>
      </c>
      <c r="J4" t="s">
        <v>16</v>
      </c>
      <c r="K4" s="4">
        <f ca="1">SUMIFS(operations[Amount],operations[Category],Table91624[[#This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SUMIFS(operations[Amount],operations[Bank],raports_3[[#This Row],[Bank]],operations[Product],raports_3[[#This Row],[Product]],operations[Month],$B$12)</f>
        <v>-104.5</v>
      </c>
      <c r="E5" s="4">
        <f ca="1">raports_3[[#This Row],[Opening balance]]+raports_3[[#This Row],[Operation]]</f>
        <v>-104.5</v>
      </c>
      <c r="G5" t="s">
        <v>17</v>
      </c>
      <c r="H5" s="3">
        <f ca="1">SUMIFS(operations[Amount],operations[Category],Expenses3[[#This Row],[Category]],operations[Month],'1'!$B$12)</f>
        <v>-1715</v>
      </c>
      <c r="J5" t="s">
        <v>25</v>
      </c>
      <c r="K5" s="4">
        <f ca="1">SUMIFS(operations[Amount],operations[Category],Table91624[[#This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SUMIFS(operations[Amount],operations[Bank],raports_3[[#This Row],[Bank]],operations[Product],raports_3[[#This Row],[Product]],operations[Month],$B$12)</f>
        <v>0</v>
      </c>
      <c r="E6" s="4">
        <f ca="1">raports_3[[#This Row],[Opening balance]]+raports_3[[#This Row],[Operation]]</f>
        <v>2000</v>
      </c>
      <c r="G6" t="s">
        <v>21</v>
      </c>
      <c r="H6" s="3">
        <f ca="1">SUMIFS(operations[Amount],operations[Category],Expenses3[[#This Row],[Category]],operations[Month],'1'!$B$12)</f>
        <v>-100</v>
      </c>
      <c r="J6" t="s">
        <v>28</v>
      </c>
      <c r="K6" s="4">
        <f ca="1">SUMIFS(operations[Amount],operations[Category],Table91624[[#This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SUMIFS(operations[Amount],operations[Bank],raports_3[[#This Row],[Bank]],operations[Product],raports_3[[#This Row],[Product]],operations[Month],$B$12)</f>
        <v>-24.49</v>
      </c>
      <c r="E7" s="4">
        <f ca="1">raports_3[[#This Row],[Opening balance]]+raports_3[[#This Row],[Operation]]</f>
        <v>175.51</v>
      </c>
      <c r="G7" t="s">
        <v>19</v>
      </c>
      <c r="H7" s="3">
        <f ca="1">SUMIFS(operations[Amount],operations[Category],Expenses3[[#This Row],[Category]],operations[Month],'1'!$B$12)</f>
        <v>-150</v>
      </c>
      <c r="J7" t="s">
        <v>29</v>
      </c>
      <c r="K7" s="4">
        <f ca="1">SUMIFS(operations[Amount],operations[Category],Table91624[[#This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SUMIFS(operations[Amount],operations[Bank],raports_3[[#This Row],[Bank]],operations[Product],raports_3[[#This Row],[Product]],operations[Month],$B$12)</f>
        <v>-9.5</v>
      </c>
      <c r="E8" s="4">
        <f ca="1">raports_3[[#This Row],[Opening balance]]+raports_3[[#This Row],[Operation]]</f>
        <v>20.5</v>
      </c>
      <c r="G8" t="s">
        <v>37</v>
      </c>
      <c r="H8" s="4">
        <f ca="1">SUBTOTAL(109,Expenses3[Total])</f>
        <v>-4130</v>
      </c>
      <c r="J8" t="s">
        <v>30</v>
      </c>
      <c r="K8" s="4">
        <f ca="1">SUMIFS(operations[Amount],operations[Category],Table91624[[#This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 t="e">
        <f ca="1">SUBTOTAL(109,raports_3[Opening balance])</f>
        <v>#REF!</v>
      </c>
      <c r="D9" s="4">
        <f ca="1">SUBTOTAL(109,raports_3[Operation])</f>
        <v>755.6099999999999</v>
      </c>
      <c r="E9" s="4" t="e">
        <f ca="1">SUBTOTAL(109,raports_3[Closing balance])</f>
        <v>#REF!</v>
      </c>
      <c r="J9" t="s">
        <v>26</v>
      </c>
      <c r="K9" s="4">
        <f ca="1">SUMIFS(operations[Amount],operations[Category],Table91624[[#This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SUMIFS(operations[Amount],operations[Category],Table91624[[#This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SUMIFS(operations[Amount],operations[Category],Table91624[[#This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3</v>
      </c>
      <c r="J12" t="s">
        <v>37</v>
      </c>
      <c r="K12" s="4">
        <f ca="1">SUBTOTAL(109,Table91624[Total])</f>
        <v>5475.5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SUMIFS(operations[Amount],operations[Type],balance_3[[#This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SUMIFS(operations[Amount],operations[Type],balance_3[[#This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SUMIFS(operations[Amount],operations[Type],balance_3[[#This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SUBTOTAL(109,balance_3[Total])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0FBE-B00F-4C22-A172-C4F9299286F6}">
  <dimension ref="A1:N18"/>
  <sheetViews>
    <sheetView workbookViewId="0">
      <selection activeCell="G14" sqref="G14"/>
    </sheetView>
  </sheetViews>
  <sheetFormatPr defaultRowHeight="15" x14ac:dyDescent="0.25"/>
  <cols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 t="e" cm="1">
        <f t="array" aca="1" ref="C2" ca="1">INDIRECT("raport_"&amp;$B$12-1&amp;"[@[Closing balance ]]")</f>
        <v>#REF!</v>
      </c>
      <c r="D2" s="4">
        <f ca="1">SUMIFS(operations[Amount],operations[Bank],raports_2[[#This Row],[Bank]],operations[Product],raports_2[[#This Row],[Product]],operations[Month],$B$12)</f>
        <v>35</v>
      </c>
      <c r="E2" s="4" t="e">
        <f ca="1">raports_2[[#This Row],[Opening balance]]+raports_2[[#This Row],[Operation]]</f>
        <v>#REF!</v>
      </c>
      <c r="G2" t="s">
        <v>18</v>
      </c>
      <c r="H2" s="3">
        <f ca="1">SUMIFS(operations[Amount],operations[Category],Expenses2[[#This Row],[Category]],operations[Month],'1'!$B$12)</f>
        <v>-2000</v>
      </c>
      <c r="J2" t="s">
        <v>24</v>
      </c>
      <c r="K2" s="4"/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SUMIFS(operations[Amount],operations[Bank],raports_2[[#This Row],[Bank]],operations[Product],raports_2[[#This Row],[Product]],operations[Month],$B$12)</f>
        <v>15</v>
      </c>
      <c r="E3" s="4">
        <f ca="1">raports_2[[#This Row],[Opening balance]]+raports_2[[#This Row],[Operation]]</f>
        <v>25.5</v>
      </c>
      <c r="G3" t="s">
        <v>22</v>
      </c>
      <c r="H3" s="3">
        <f ca="1">SUMIFS(operations[Amount],operations[Category],Expenses2[[#This Row],[Category]],operations[Month],'1'!$B$12)</f>
        <v>-80</v>
      </c>
      <c r="J3" t="s">
        <v>23</v>
      </c>
      <c r="K3" s="4">
        <f ca="1">SUMIFS(operations[Amount],operations[Category],Table916[[#This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SUMIFS(operations[Amount],operations[Bank],raports_2[[#This Row],[Bank]],operations[Product],raports_2[[#This Row],[Product]],operations[Month],$B$12)</f>
        <v>2039.5</v>
      </c>
      <c r="E4" s="4">
        <f ca="1">raports_2[[#This Row],[Opening balance]]+raports_2[[#This Row],[Operation]]</f>
        <v>2639.5</v>
      </c>
      <c r="G4" t="s">
        <v>20</v>
      </c>
      <c r="H4" s="3">
        <f ca="1">SUMIFS(operations[Amount],operations[Category],Expenses2[[#This Row],[Category]],operations[Month],'1'!$B$12)</f>
        <v>-85</v>
      </c>
      <c r="J4" t="s">
        <v>16</v>
      </c>
      <c r="K4" s="4">
        <f ca="1">SUMIFS(operations[Amount],operations[Category],Table916[[#This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SUMIFS(operations[Amount],operations[Bank],raports_2[[#This Row],[Bank]],operations[Product],raports_2[[#This Row],[Product]],operations[Month],$B$12)</f>
        <v>175</v>
      </c>
      <c r="E5" s="4">
        <f ca="1">raports_2[[#This Row],[Opening balance]]+raports_2[[#This Row],[Operation]]</f>
        <v>175</v>
      </c>
      <c r="G5" t="s">
        <v>17</v>
      </c>
      <c r="H5" s="3">
        <f ca="1">SUMIFS(operations[Amount],operations[Category],Expenses2[[#This Row],[Category]],operations[Month],'1'!$B$12)</f>
        <v>-1715</v>
      </c>
      <c r="J5" t="s">
        <v>25</v>
      </c>
      <c r="K5" s="4">
        <f ca="1">SUMIFS(operations[Amount],operations[Category],Table916[[#This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SUMIFS(operations[Amount],operations[Bank],raports_2[[#This Row],[Bank]],operations[Product],raports_2[[#This Row],[Product]],operations[Month],$B$12)</f>
        <v>-400</v>
      </c>
      <c r="E6" s="4">
        <f ca="1">raports_2[[#This Row],[Opening balance]]+raports_2[[#This Row],[Operation]]</f>
        <v>1600</v>
      </c>
      <c r="G6" t="s">
        <v>21</v>
      </c>
      <c r="H6" s="3">
        <f ca="1">SUMIFS(operations[Amount],operations[Category],Expenses2[[#This Row],[Category]],operations[Month],'1'!$B$12)</f>
        <v>-100</v>
      </c>
      <c r="J6" t="s">
        <v>28</v>
      </c>
      <c r="K6" s="4">
        <f ca="1">SUMIFS(operations[Amount],operations[Category],Table916[[#This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SUMIFS(operations[Amount],operations[Bank],raports_2[[#This Row],[Bank]],operations[Product],raports_2[[#This Row],[Product]],operations[Month],$B$12)</f>
        <v>100</v>
      </c>
      <c r="E7" s="4">
        <f ca="1">raports_2[[#This Row],[Opening balance]]+raports_2[[#This Row],[Operation]]</f>
        <v>300</v>
      </c>
      <c r="G7" t="s">
        <v>19</v>
      </c>
      <c r="H7" s="3">
        <f ca="1">SUMIFS(operations[Amount],operations[Category],Expenses2[[#This Row],[Category]],operations[Month],'1'!$B$12)</f>
        <v>-150</v>
      </c>
      <c r="J7" t="s">
        <v>29</v>
      </c>
      <c r="K7" s="4">
        <f ca="1">SUMIFS(operations[Amount],operations[Category],Table916[[#This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SUMIFS(operations[Amount],operations[Bank],raports_2[[#This Row],[Bank]],operations[Product],raports_2[[#This Row],[Product]],operations[Month],$B$12)</f>
        <v>500</v>
      </c>
      <c r="E8" s="4">
        <f ca="1">raports_2[[#This Row],[Opening balance]]+raports_2[[#This Row],[Operation]]</f>
        <v>530</v>
      </c>
      <c r="G8" t="s">
        <v>37</v>
      </c>
      <c r="H8" s="4">
        <f ca="1">SUBTOTAL(109,Expenses2[Total])</f>
        <v>-4130</v>
      </c>
      <c r="J8" t="s">
        <v>30</v>
      </c>
      <c r="K8" s="4">
        <f ca="1">SUMIFS(operations[Amount],operations[Category],Table916[[#This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 t="e">
        <f ca="1">SUBTOTAL(109,raports_2[Opening balance])</f>
        <v>#REF!</v>
      </c>
      <c r="D9" s="4">
        <f ca="1">SUBTOTAL(109,raports_2[Operation])</f>
        <v>2464.5</v>
      </c>
      <c r="E9" s="4" t="e">
        <f ca="1">SUBTOTAL(109,raports_2[Closing balance])</f>
        <v>#REF!</v>
      </c>
      <c r="J9" t="s">
        <v>26</v>
      </c>
      <c r="K9" s="4">
        <f ca="1">SUMIFS(operations[Amount],operations[Category],Table916[[#This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SUMIFS(operations[Amount],operations[Category],Table916[[#This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SUMIFS(operations[Amount],operations[Category],Table916[[#This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2</v>
      </c>
      <c r="J12" t="s">
        <v>37</v>
      </c>
      <c r="K12" s="4">
        <f ca="1">SUBTOTAL(109,Table916[Total])</f>
        <v>5475.5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SUMIFS(operations[Amount],operations[Type],balance_2[[#This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SUMIFS(operations[Amount],operations[Type],balance_2[[#This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SUMIFS(operations[Amount],operations[Type],balance_2[[#This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SUBTOTAL(109,balance_2[Total])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51515-2B6D-472E-BCEE-A63133AE261E}">
  <dimension ref="A1:N18"/>
  <sheetViews>
    <sheetView workbookViewId="0">
      <selection sqref="A1:B9"/>
    </sheetView>
  </sheetViews>
  <sheetFormatPr defaultRowHeight="15" x14ac:dyDescent="0.25"/>
  <cols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>
        <v>100</v>
      </c>
      <c r="D2" s="4">
        <f ca="1">SUMIFS(operations[Amount],operations[Bank],raports_1[[#This Row],[Bank]],operations[Product],raports_1[[#This Row],[Product]],operations[Month],$B$12)</f>
        <v>-35</v>
      </c>
      <c r="E2" s="4">
        <f ca="1">raports_1[[#This Row],[Opening balance]]+raports_1[[#This Row],[Operation]]</f>
        <v>65</v>
      </c>
      <c r="G2" t="s">
        <v>18</v>
      </c>
      <c r="H2" s="3">
        <f ca="1">SUMIFS(operations[Amount],operations[Category],Expenses[[#This Row],[Category]],operations[Month],'1'!$B$12)</f>
        <v>-2000</v>
      </c>
      <c r="J2" t="s">
        <v>24</v>
      </c>
      <c r="K2" s="4">
        <f ca="1">SUMIFS(operations[Amount],operations[Category],Table9[[#This Row],[Category]],operations[Month],'1'!$B$12)</f>
        <v>-500</v>
      </c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SUMIFS(operations[Amount],operations[Bank],raports_1[[#This Row],[Bank]],operations[Product],raports_1[[#This Row],[Product]],operations[Month],$B$12)</f>
        <v>255.5</v>
      </c>
      <c r="E3" s="4">
        <f ca="1">raports_1[[#This Row],[Opening balance]]+raports_1[[#This Row],[Operation]]</f>
        <v>266</v>
      </c>
      <c r="G3" t="s">
        <v>22</v>
      </c>
      <c r="H3" s="3">
        <f ca="1">SUMIFS(operations[Amount],operations[Category],Expenses[[#This Row],[Category]],operations[Month],'1'!$B$12)</f>
        <v>-80</v>
      </c>
      <c r="J3" t="s">
        <v>23</v>
      </c>
      <c r="K3" s="4">
        <f ca="1">SUMIFS(operations[Amount],operations[Category],Table9[[#This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SUMIFS(operations[Amount],operations[Bank],raports_1[[#This Row],[Bank]],operations[Product],raports_1[[#This Row],[Product]],operations[Month],$B$12)</f>
        <v>1100</v>
      </c>
      <c r="E4" s="4">
        <f ca="1">raports_1[[#This Row],[Opening balance]]+raports_1[[#This Row],[Operation]]</f>
        <v>1700</v>
      </c>
      <c r="G4" t="s">
        <v>20</v>
      </c>
      <c r="H4" s="3">
        <f ca="1">SUMIFS(operations[Amount],operations[Category],Expenses[[#This Row],[Category]],operations[Month],'1'!$B$12)</f>
        <v>-85</v>
      </c>
      <c r="J4" t="s">
        <v>16</v>
      </c>
      <c r="K4" s="4">
        <f ca="1">SUMIFS(operations[Amount],operations[Category],Table9[[#This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SUMIFS(operations[Amount],operations[Bank],raports_1[[#This Row],[Bank]],operations[Product],raports_1[[#This Row],[Product]],operations[Month],$B$12)</f>
        <v>-175</v>
      </c>
      <c r="E5" s="4">
        <f ca="1">raports_1[[#This Row],[Opening balance]]+raports_1[[#This Row],[Operation]]</f>
        <v>-175</v>
      </c>
      <c r="G5" t="s">
        <v>17</v>
      </c>
      <c r="H5" s="3">
        <f ca="1">SUMIFS(operations[Amount],operations[Category],Expenses[[#This Row],[Category]],operations[Month],'1'!$B$12)</f>
        <v>-1715</v>
      </c>
      <c r="J5" t="s">
        <v>25</v>
      </c>
      <c r="K5" s="4">
        <f ca="1">SUMIFS(operations[Amount],operations[Category],Table9[[#This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SUMIFS(operations[Amount],operations[Bank],raports_1[[#This Row],[Bank]],operations[Product],raports_1[[#This Row],[Product]],operations[Month],$B$12)</f>
        <v>-400</v>
      </c>
      <c r="E6" s="4">
        <f ca="1">raports_1[[#This Row],[Opening balance]]+raports_1[[#This Row],[Operation]]</f>
        <v>1600</v>
      </c>
      <c r="G6" t="s">
        <v>21</v>
      </c>
      <c r="H6" s="3">
        <f ca="1">SUMIFS(operations[Amount],operations[Category],Expenses[[#This Row],[Category]],operations[Month],'1'!$B$12)</f>
        <v>-100</v>
      </c>
      <c r="J6" t="s">
        <v>28</v>
      </c>
      <c r="K6" s="4">
        <f ca="1">SUMIFS(operations[Amount],operations[Category],Table9[[#This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SUMIFS(operations[Amount],operations[Bank],raports_1[[#This Row],[Bank]],operations[Product],raports_1[[#This Row],[Product]],operations[Month],$B$12)</f>
        <v>-50</v>
      </c>
      <c r="E7" s="4">
        <f ca="1">raports_1[[#This Row],[Opening balance]]+raports_1[[#This Row],[Operation]]</f>
        <v>150</v>
      </c>
      <c r="G7" t="s">
        <v>19</v>
      </c>
      <c r="H7" s="3">
        <f ca="1">SUMIFS(operations[Amount],operations[Category],Expenses[[#This Row],[Category]],operations[Month],'1'!$B$12)</f>
        <v>-150</v>
      </c>
      <c r="J7" t="s">
        <v>29</v>
      </c>
      <c r="K7" s="4">
        <f ca="1">SUMIFS(operations[Amount],operations[Category],Table9[[#This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SUMIFS(operations[Amount],operations[Bank],raports_1[[#This Row],[Bank]],operations[Product],raports_1[[#This Row],[Product]],operations[Month],$B$12)</f>
        <v>150</v>
      </c>
      <c r="E8" s="4">
        <f ca="1">raports_1[[#This Row],[Opening balance]]+raports_1[[#This Row],[Operation]]</f>
        <v>180</v>
      </c>
      <c r="G8" t="s">
        <v>37</v>
      </c>
      <c r="H8" s="4">
        <f ca="1">SUBTOTAL(109,Expenses[Total])</f>
        <v>-4130</v>
      </c>
      <c r="J8" t="s">
        <v>30</v>
      </c>
      <c r="K8" s="4">
        <f ca="1">SUMIFS(operations[Amount],operations[Category],Table9[[#This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>
        <f>SUBTOTAL(109,raports_1[Opening balance])</f>
        <v>2940.5</v>
      </c>
      <c r="D9" s="4">
        <f ca="1">SUBTOTAL(109,raports_1[Operation])</f>
        <v>845.5</v>
      </c>
      <c r="E9" s="4">
        <f ca="1">SUBTOTAL(109,raports_1[Closing balance])</f>
        <v>3786</v>
      </c>
      <c r="J9" t="s">
        <v>26</v>
      </c>
      <c r="K9" s="4">
        <f ca="1">SUMIFS(operations[Amount],operations[Category],Table9[[#This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1</v>
      </c>
      <c r="J12" t="s">
        <v>37</v>
      </c>
      <c r="K12" s="4">
        <f ca="1">SUBTOTAL(109,Table9[Total])</f>
        <v>4975.5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SUMIFS(operations[Amount],operations[Type],balance_1[[#This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SUMIFS(operations[Amount],operations[Type],balance_1[[#This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SUMIFS(operations[Amount],operations[Type],balance_1[[#This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SUBTOTAL(109,balance_1[Total])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D90A-D313-41BA-80BA-2B9C4B6294DF}">
  <dimension ref="A1:N18"/>
  <sheetViews>
    <sheetView workbookViewId="0">
      <selection activeCell="C2" sqref="C2"/>
    </sheetView>
  </sheetViews>
  <sheetFormatPr defaultRowHeight="15" x14ac:dyDescent="0.25"/>
  <cols>
    <col min="2" max="2" width="18.28515625" bestFit="1" customWidth="1"/>
    <col min="3" max="3" width="18" customWidth="1"/>
    <col min="4" max="4" width="12.140625" customWidth="1"/>
    <col min="5" max="5" width="16.85546875" customWidth="1"/>
    <col min="7" max="7" width="15.140625" bestFit="1" customWidth="1"/>
    <col min="8" max="8" width="11.42578125" bestFit="1" customWidth="1"/>
    <col min="10" max="10" width="15.140625" bestFit="1" customWidth="1"/>
    <col min="11" max="11" width="11.42578125" bestFit="1" customWidth="1"/>
  </cols>
  <sheetData>
    <row r="1" spans="1:14" x14ac:dyDescent="0.25">
      <c r="A1" t="s">
        <v>0</v>
      </c>
      <c r="B1" t="s">
        <v>2</v>
      </c>
      <c r="C1" t="s">
        <v>34</v>
      </c>
      <c r="D1" t="s">
        <v>35</v>
      </c>
      <c r="E1" t="s">
        <v>36</v>
      </c>
      <c r="G1" t="s">
        <v>3</v>
      </c>
      <c r="H1" s="3" t="s">
        <v>37</v>
      </c>
      <c r="J1" t="s">
        <v>3</v>
      </c>
      <c r="K1" t="s">
        <v>37</v>
      </c>
      <c r="N1" t="s">
        <v>4</v>
      </c>
    </row>
    <row r="2" spans="1:14" x14ac:dyDescent="0.25">
      <c r="A2" t="s">
        <v>11</v>
      </c>
      <c r="B2" t="s">
        <v>8</v>
      </c>
      <c r="C2" s="4" t="e" cm="1">
        <f t="array" aca="1" ref="C2" ca="1">INDIRECT("raport_"&amp;$B$12-1&amp;"[@[Closing balance ]]")</f>
        <v>#REF!</v>
      </c>
      <c r="D2" s="4">
        <f ca="1">SUMIFS(operations[Amount],operations[Bank],raports_4[[#This Row],[Bank]],operations[Product],raports_4[[#This Row],[Product]],operations[Month],$B$12)</f>
        <v>101</v>
      </c>
      <c r="E2" s="4" t="e">
        <f ca="1">raports_4[[#This Row],[Opening balance]]+raports_4[[#This Row],[Operation]]</f>
        <v>#REF!</v>
      </c>
      <c r="G2" t="s">
        <v>18</v>
      </c>
      <c r="H2" s="3">
        <f ca="1">SUMIFS(operations[Amount],operations[Category],Expenses4[[#This Row],[Category]],operations[Month],'1'!$B$12)</f>
        <v>-2000</v>
      </c>
      <c r="J2" t="s">
        <v>24</v>
      </c>
      <c r="K2" s="4"/>
      <c r="N2" t="s">
        <v>32</v>
      </c>
    </row>
    <row r="3" spans="1:14" x14ac:dyDescent="0.25">
      <c r="A3" t="s">
        <v>11</v>
      </c>
      <c r="B3" t="s">
        <v>12</v>
      </c>
      <c r="C3" s="4">
        <v>10.5</v>
      </c>
      <c r="D3" s="4">
        <f ca="1">SUMIFS(operations[Amount],operations[Bank],raports_4[[#This Row],[Bank]],operations[Product],raports_4[[#This Row],[Product]],operations[Month],$B$12)</f>
        <v>50</v>
      </c>
      <c r="E3" s="4">
        <f ca="1">raports_4[[#This Row],[Opening balance]]+raports_4[[#This Row],[Operation]]</f>
        <v>60.5</v>
      </c>
      <c r="G3" t="s">
        <v>22</v>
      </c>
      <c r="H3" s="3">
        <f ca="1">SUMIFS(operations[Amount],operations[Category],Expenses4[[#This Row],[Category]],operations[Month],'1'!$B$12)</f>
        <v>-80</v>
      </c>
      <c r="J3" t="s">
        <v>23</v>
      </c>
      <c r="K3" s="4">
        <f ca="1">SUMIFS(operations[Amount],operations[Category],Table91628[[#This Row],[Category]],operations[Month],'1'!$B$12)</f>
        <v>-100</v>
      </c>
      <c r="N3" t="s">
        <v>32</v>
      </c>
    </row>
    <row r="4" spans="1:14" x14ac:dyDescent="0.25">
      <c r="A4" t="s">
        <v>7</v>
      </c>
      <c r="B4" t="s">
        <v>8</v>
      </c>
      <c r="C4" s="4">
        <v>600</v>
      </c>
      <c r="D4" s="4">
        <f ca="1">SUMIFS(operations[Amount],operations[Bank],raports_4[[#This Row],[Bank]],operations[Product],raports_4[[#This Row],[Product]],operations[Month],$B$12)</f>
        <v>562.72999999999968</v>
      </c>
      <c r="E4" s="4">
        <f ca="1">raports_4[[#This Row],[Opening balance]]+raports_4[[#This Row],[Operation]]</f>
        <v>1162.7299999999996</v>
      </c>
      <c r="G4" t="s">
        <v>20</v>
      </c>
      <c r="H4" s="3">
        <f ca="1">SUMIFS(operations[Amount],operations[Category],Expenses4[[#This Row],[Category]],operations[Month],'1'!$B$12)</f>
        <v>-85</v>
      </c>
      <c r="J4" t="s">
        <v>16</v>
      </c>
      <c r="K4" s="4">
        <f ca="1">SUMIFS(operations[Amount],operations[Category],Table91628[[#This Row],[Category]],operations[Month],'1'!$B$12)</f>
        <v>-80</v>
      </c>
      <c r="N4" t="s">
        <v>32</v>
      </c>
    </row>
    <row r="5" spans="1:14" x14ac:dyDescent="0.25">
      <c r="A5" t="s">
        <v>7</v>
      </c>
      <c r="B5" t="s">
        <v>9</v>
      </c>
      <c r="C5" s="4">
        <v>0</v>
      </c>
      <c r="D5" s="4">
        <f ca="1">SUMIFS(operations[Amount],operations[Bank],raports_4[[#This Row],[Bank]],operations[Product],raports_4[[#This Row],[Product]],operations[Month],$B$12)</f>
        <v>13.110000000000007</v>
      </c>
      <c r="E5" s="4">
        <f ca="1">raports_4[[#This Row],[Opening balance]]+raports_4[[#This Row],[Operation]]</f>
        <v>13.110000000000007</v>
      </c>
      <c r="G5" t="s">
        <v>17</v>
      </c>
      <c r="H5" s="3">
        <f ca="1">SUMIFS(operations[Amount],operations[Category],Expenses4[[#This Row],[Category]],operations[Month],'1'!$B$12)</f>
        <v>-1715</v>
      </c>
      <c r="J5" t="s">
        <v>25</v>
      </c>
      <c r="K5" s="4">
        <f ca="1">SUMIFS(operations[Amount],operations[Category],Table91628[[#This Row],[Category]],operations[Month],'1'!$B$12)</f>
        <v>250</v>
      </c>
      <c r="N5" t="s">
        <v>32</v>
      </c>
    </row>
    <row r="6" spans="1:14" x14ac:dyDescent="0.25">
      <c r="A6" t="s">
        <v>7</v>
      </c>
      <c r="B6" t="s">
        <v>10</v>
      </c>
      <c r="C6" s="4">
        <v>2000</v>
      </c>
      <c r="D6" s="4">
        <f ca="1">SUMIFS(operations[Amount],operations[Bank],raports_4[[#This Row],[Bank]],operations[Product],raports_4[[#This Row],[Product]],operations[Month],$B$12)</f>
        <v>0</v>
      </c>
      <c r="E6" s="4">
        <f ca="1">raports_4[[#This Row],[Opening balance]]+raports_4[[#This Row],[Operation]]</f>
        <v>2000</v>
      </c>
      <c r="G6" t="s">
        <v>21</v>
      </c>
      <c r="H6" s="3">
        <f ca="1">SUMIFS(operations[Amount],operations[Category],Expenses4[[#This Row],[Category]],operations[Month],'1'!$B$12)</f>
        <v>-100</v>
      </c>
      <c r="J6" t="s">
        <v>28</v>
      </c>
      <c r="K6" s="4">
        <f ca="1">SUMIFS(operations[Amount],operations[Category],Table91628[[#This Row],[Category]],operations[Month],'1'!$B$12)</f>
        <v>105.5</v>
      </c>
      <c r="N6" t="s">
        <v>32</v>
      </c>
    </row>
    <row r="7" spans="1:14" x14ac:dyDescent="0.25">
      <c r="A7" t="s">
        <v>13</v>
      </c>
      <c r="B7" t="s">
        <v>15</v>
      </c>
      <c r="C7" s="4">
        <v>200</v>
      </c>
      <c r="D7" s="4">
        <f ca="1">SUMIFS(operations[Amount],operations[Bank],raports_4[[#This Row],[Bank]],operations[Product],raports_4[[#This Row],[Product]],operations[Month],$B$12)</f>
        <v>0</v>
      </c>
      <c r="E7" s="4">
        <f ca="1">raports_4[[#This Row],[Opening balance]]+raports_4[[#This Row],[Operation]]</f>
        <v>200</v>
      </c>
      <c r="G7" t="s">
        <v>19</v>
      </c>
      <c r="H7" s="3">
        <f ca="1">SUMIFS(operations[Amount],operations[Category],Expenses4[[#This Row],[Category]],operations[Month],'1'!$B$12)</f>
        <v>-150</v>
      </c>
      <c r="J7" t="s">
        <v>29</v>
      </c>
      <c r="K7" s="4">
        <f ca="1">SUMIFS(operations[Amount],operations[Category],Table91628[[#This Row],[Category]],operations[Month],'1'!$B$12)</f>
        <v>0</v>
      </c>
      <c r="N7" t="s">
        <v>32</v>
      </c>
    </row>
    <row r="8" spans="1:14" x14ac:dyDescent="0.25">
      <c r="A8" t="s">
        <v>13</v>
      </c>
      <c r="B8" t="s">
        <v>14</v>
      </c>
      <c r="C8" s="4">
        <v>30</v>
      </c>
      <c r="D8" s="4">
        <f ca="1">SUMIFS(operations[Amount],operations[Bank],raports_4[[#This Row],[Bank]],operations[Product],raports_4[[#This Row],[Product]],operations[Month],$B$12)</f>
        <v>0</v>
      </c>
      <c r="E8" s="4">
        <f ca="1">raports_4[[#This Row],[Opening balance]]+raports_4[[#This Row],[Operation]]</f>
        <v>30</v>
      </c>
      <c r="G8" t="s">
        <v>37</v>
      </c>
      <c r="H8" s="4">
        <f ca="1">SUBTOTAL(109,Expenses4[Total])</f>
        <v>-4130</v>
      </c>
      <c r="J8" t="s">
        <v>30</v>
      </c>
      <c r="K8" s="4">
        <f ca="1">SUMIFS(operations[Amount],operations[Category],Table91628[[#This Row],[Category]],operations[Month],'1'!$B$12)</f>
        <v>800</v>
      </c>
      <c r="N8" t="s">
        <v>32</v>
      </c>
    </row>
    <row r="9" spans="1:14" x14ac:dyDescent="0.25">
      <c r="A9" s="4" t="s">
        <v>37</v>
      </c>
      <c r="B9" s="4"/>
      <c r="C9" s="4" t="e">
        <f ca="1">SUBTOTAL(109,raports_4[Opening balance])</f>
        <v>#REF!</v>
      </c>
      <c r="D9" s="4">
        <f ca="1">SUBTOTAL(109,raports_4[Operation])</f>
        <v>726.83999999999969</v>
      </c>
      <c r="E9" s="4" t="e">
        <f ca="1">SUBTOTAL(109,raports_4[Closing balance])</f>
        <v>#REF!</v>
      </c>
      <c r="J9" t="s">
        <v>26</v>
      </c>
      <c r="K9" s="4">
        <f ca="1">SUMIFS(operations[Amount],operations[Category],Table91628[[#This Row],[Category]],operations[Month],'1'!$B$12)</f>
        <v>4500</v>
      </c>
      <c r="N9" t="s">
        <v>32</v>
      </c>
    </row>
    <row r="10" spans="1:14" x14ac:dyDescent="0.25">
      <c r="J10" t="s">
        <v>27</v>
      </c>
      <c r="K10" s="4">
        <f ca="1">SUMIFS(operations[Amount],operations[Category],Table91628[[#This Row],[Category]],operations[Month],'1'!$B$12)</f>
        <v>0</v>
      </c>
      <c r="N10" t="s">
        <v>32</v>
      </c>
    </row>
    <row r="11" spans="1:14" x14ac:dyDescent="0.25">
      <c r="J11" t="s">
        <v>31</v>
      </c>
      <c r="K11" s="4">
        <f ca="1">SUMIFS(operations[Amount],operations[Category],Table91628[[#This Row],[Category]],operations[Month],'1'!$B$12)</f>
        <v>0</v>
      </c>
      <c r="N11" t="s">
        <v>33</v>
      </c>
    </row>
    <row r="12" spans="1:14" x14ac:dyDescent="0.25">
      <c r="A12" t="s">
        <v>6</v>
      </c>
      <c r="B12" t="str" cm="1">
        <f t="array" aca="1" ref="B12" ca="1">_xlfn.TEXTAFTER(CELL("filename",A1),"]")</f>
        <v>4</v>
      </c>
      <c r="J12" t="s">
        <v>37</v>
      </c>
      <c r="K12" s="4">
        <f ca="1">SUBTOTAL(109,Table91628[Total])</f>
        <v>5475.5</v>
      </c>
      <c r="N12" t="s">
        <v>33</v>
      </c>
    </row>
    <row r="13" spans="1:14" x14ac:dyDescent="0.25">
      <c r="N13" t="s">
        <v>33</v>
      </c>
    </row>
    <row r="14" spans="1:14" x14ac:dyDescent="0.25">
      <c r="A14" t="s">
        <v>4</v>
      </c>
      <c r="B14" t="s">
        <v>37</v>
      </c>
      <c r="N14" t="s">
        <v>33</v>
      </c>
    </row>
    <row r="15" spans="1:14" x14ac:dyDescent="0.25">
      <c r="A15" t="s">
        <v>33</v>
      </c>
      <c r="B15" s="4">
        <f ca="1">SUMIFS(operations[Amount],operations[Type],balance_4[[#This Row],[Type]],operations[Month],'1'!$B$12)</f>
        <v>5655.5</v>
      </c>
      <c r="N15" t="s">
        <v>33</v>
      </c>
    </row>
    <row r="16" spans="1:14" x14ac:dyDescent="0.25">
      <c r="A16" t="s">
        <v>32</v>
      </c>
      <c r="B16" s="4">
        <f ca="1">SUMIFS(operations[Amount],operations[Type],balance_4[[#This Row],[Type]],operations[Month],'1'!$B$12)</f>
        <v>-4810</v>
      </c>
      <c r="N16" t="s">
        <v>33</v>
      </c>
    </row>
    <row r="17" spans="1:14" x14ac:dyDescent="0.25">
      <c r="A17" t="s">
        <v>31</v>
      </c>
      <c r="B17" s="4">
        <f ca="1">SUMIFS(operations[Amount],operations[Type],balance_4[[#This Row],[Type]],operations[Month],'1'!$B$12)</f>
        <v>0</v>
      </c>
      <c r="N17" t="s">
        <v>31</v>
      </c>
    </row>
    <row r="18" spans="1:14" x14ac:dyDescent="0.25">
      <c r="A18" t="s">
        <v>37</v>
      </c>
      <c r="B18" s="4">
        <f ca="1">SUBTOTAL(109,balance_4[Total])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8F55-2D3E-4022-921E-6A8B1D8F03C3}">
  <dimension ref="A1:J17"/>
  <sheetViews>
    <sheetView zoomScale="160" zoomScaleNormal="160" workbookViewId="0">
      <selection activeCell="D1" sqref="D1:E8"/>
    </sheetView>
  </sheetViews>
  <sheetFormatPr defaultRowHeight="15" x14ac:dyDescent="0.25"/>
  <cols>
    <col min="1" max="1" width="16" bestFit="1" customWidth="1"/>
    <col min="2" max="2" width="8.28515625" bestFit="1" customWidth="1"/>
    <col min="4" max="4" width="10.7109375" bestFit="1" customWidth="1"/>
    <col min="5" max="5" width="18.5703125" bestFit="1" customWidth="1"/>
    <col min="8" max="8" width="15.42578125" bestFit="1" customWidth="1"/>
    <col min="9" max="9" width="17.5703125" bestFit="1" customWidth="1"/>
  </cols>
  <sheetData>
    <row r="1" spans="1:10" ht="16.5" thickTop="1" thickBot="1" x14ac:dyDescent="0.3">
      <c r="A1" s="1" t="s">
        <v>3</v>
      </c>
      <c r="B1" s="1" t="s">
        <v>4</v>
      </c>
      <c r="D1" s="1" t="s">
        <v>0</v>
      </c>
      <c r="E1" s="1" t="s">
        <v>2</v>
      </c>
      <c r="H1" s="9" t="s">
        <v>11</v>
      </c>
      <c r="I1" s="9" t="s">
        <v>7</v>
      </c>
      <c r="J1" s="9" t="s">
        <v>13</v>
      </c>
    </row>
    <row r="2" spans="1:10" ht="16.5" thickTop="1" thickBot="1" x14ac:dyDescent="0.3">
      <c r="A2" s="1" t="s">
        <v>18</v>
      </c>
      <c r="B2" s="1" t="s">
        <v>32</v>
      </c>
      <c r="D2" s="1" t="s">
        <v>11</v>
      </c>
      <c r="E2" s="1" t="s">
        <v>8</v>
      </c>
      <c r="H2" s="9" t="s">
        <v>8</v>
      </c>
      <c r="I2" s="9" t="s">
        <v>8</v>
      </c>
      <c r="J2" s="9" t="s">
        <v>15</v>
      </c>
    </row>
    <row r="3" spans="1:10" ht="16.5" thickTop="1" thickBot="1" x14ac:dyDescent="0.3">
      <c r="A3" s="1" t="s">
        <v>22</v>
      </c>
      <c r="B3" s="1" t="s">
        <v>32</v>
      </c>
      <c r="D3" s="1" t="s">
        <v>11</v>
      </c>
      <c r="E3" s="1" t="s">
        <v>12</v>
      </c>
      <c r="H3" s="9" t="s">
        <v>12</v>
      </c>
      <c r="I3" s="9" t="s">
        <v>9</v>
      </c>
      <c r="J3" s="9" t="s">
        <v>14</v>
      </c>
    </row>
    <row r="4" spans="1:10" ht="16.5" thickTop="1" thickBot="1" x14ac:dyDescent="0.3">
      <c r="A4" s="1" t="s">
        <v>20</v>
      </c>
      <c r="B4" s="1" t="s">
        <v>32</v>
      </c>
      <c r="D4" s="1" t="s">
        <v>7</v>
      </c>
      <c r="E4" s="1" t="s">
        <v>8</v>
      </c>
      <c r="I4" s="9" t="s">
        <v>10</v>
      </c>
    </row>
    <row r="5" spans="1:10" ht="15.75" thickTop="1" x14ac:dyDescent="0.25">
      <c r="A5" s="1" t="s">
        <v>17</v>
      </c>
      <c r="B5" s="1" t="s">
        <v>32</v>
      </c>
      <c r="D5" s="1" t="s">
        <v>7</v>
      </c>
      <c r="E5" s="1" t="s">
        <v>9</v>
      </c>
    </row>
    <row r="6" spans="1:10" x14ac:dyDescent="0.25">
      <c r="A6" s="1" t="s">
        <v>21</v>
      </c>
      <c r="B6" s="2" t="s">
        <v>32</v>
      </c>
      <c r="D6" s="1" t="s">
        <v>7</v>
      </c>
      <c r="E6" s="1" t="s">
        <v>10</v>
      </c>
    </row>
    <row r="7" spans="1:10" x14ac:dyDescent="0.25">
      <c r="A7" s="1" t="s">
        <v>19</v>
      </c>
      <c r="B7" s="1" t="s">
        <v>32</v>
      </c>
      <c r="D7" s="1" t="s">
        <v>13</v>
      </c>
      <c r="E7" s="1" t="s">
        <v>15</v>
      </c>
    </row>
    <row r="8" spans="1:10" x14ac:dyDescent="0.25">
      <c r="A8" s="1" t="s">
        <v>24</v>
      </c>
      <c r="B8" s="1" t="s">
        <v>32</v>
      </c>
      <c r="D8" s="1" t="s">
        <v>13</v>
      </c>
      <c r="E8" s="1" t="s">
        <v>14</v>
      </c>
    </row>
    <row r="9" spans="1:10" x14ac:dyDescent="0.25">
      <c r="A9" s="1" t="s">
        <v>23</v>
      </c>
      <c r="B9" s="1" t="s">
        <v>32</v>
      </c>
    </row>
    <row r="10" spans="1:10" x14ac:dyDescent="0.25">
      <c r="A10" s="1" t="s">
        <v>16</v>
      </c>
      <c r="B10" s="1" t="s">
        <v>32</v>
      </c>
    </row>
    <row r="11" spans="1:10" x14ac:dyDescent="0.25">
      <c r="A11" s="1" t="s">
        <v>25</v>
      </c>
      <c r="B11" s="1" t="s">
        <v>33</v>
      </c>
    </row>
    <row r="12" spans="1:10" x14ac:dyDescent="0.25">
      <c r="A12" s="1" t="s">
        <v>28</v>
      </c>
      <c r="B12" s="1" t="s">
        <v>33</v>
      </c>
    </row>
    <row r="13" spans="1:10" x14ac:dyDescent="0.25">
      <c r="A13" s="1" t="s">
        <v>29</v>
      </c>
      <c r="B13" s="1" t="s">
        <v>33</v>
      </c>
    </row>
    <row r="14" spans="1:10" x14ac:dyDescent="0.25">
      <c r="A14" s="1" t="s">
        <v>30</v>
      </c>
      <c r="B14" s="1" t="s">
        <v>33</v>
      </c>
    </row>
    <row r="15" spans="1:10" x14ac:dyDescent="0.25">
      <c r="A15" s="1" t="s">
        <v>26</v>
      </c>
      <c r="B15" s="1" t="s">
        <v>33</v>
      </c>
    </row>
    <row r="16" spans="1:10" x14ac:dyDescent="0.25">
      <c r="A16" s="1" t="s">
        <v>27</v>
      </c>
      <c r="B16" s="1" t="s">
        <v>33</v>
      </c>
    </row>
    <row r="17" spans="1:2" x14ac:dyDescent="0.25">
      <c r="A17" s="1" t="s">
        <v>31</v>
      </c>
      <c r="B17" s="1" t="s">
        <v>31</v>
      </c>
    </row>
  </sheetData>
  <dataValidations count="1">
    <dataValidation type="list" allowBlank="1" showInputMessage="1" showErrorMessage="1" sqref="B2:B17" xr:uid="{41D12C08-7700-43DD-9660-93D993AD53CD}">
      <formula1>"Income, Transfer, Expense"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P207"/>
  <sheetViews>
    <sheetView tabSelected="1" workbookViewId="0">
      <selection activeCell="J11" sqref="J11"/>
    </sheetView>
  </sheetViews>
  <sheetFormatPr defaultRowHeight="15" x14ac:dyDescent="0.25"/>
  <cols>
    <col min="1" max="2" width="14.5703125" customWidth="1"/>
    <col min="3" max="3" width="18.5703125" bestFit="1" customWidth="1"/>
    <col min="4" max="4" width="16" bestFit="1" customWidth="1"/>
    <col min="5" max="5" width="11.5703125" customWidth="1"/>
    <col min="6" max="7" width="15.5703125" customWidth="1"/>
    <col min="10" max="10" width="18.28515625" bestFit="1" customWidth="1"/>
  </cols>
  <sheetData>
    <row r="1" spans="1:16" ht="20.25" thickBot="1" x14ac:dyDescent="0.35">
      <c r="A1" s="8" t="s">
        <v>1</v>
      </c>
      <c r="B1" s="8" t="s">
        <v>0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16" ht="15.75" thickTop="1" x14ac:dyDescent="0.25">
      <c r="A2" s="6">
        <v>-1500</v>
      </c>
      <c r="B2" s="5" t="s">
        <v>7</v>
      </c>
      <c r="C2" s="5" t="s">
        <v>8</v>
      </c>
      <c r="D2" s="5" t="s">
        <v>17</v>
      </c>
      <c r="E2" s="5" t="str">
        <f>_xlfn.XLOOKUP(operations[[#This Row],[Category]],categories[Category],categories[Type],"",0,1)</f>
        <v>Expense</v>
      </c>
      <c r="F2" s="7">
        <v>45296</v>
      </c>
      <c r="G2" s="5">
        <f>MONTH(operations[[#This Row],[Date]])</f>
        <v>1</v>
      </c>
      <c r="J2" t="str" cm="1">
        <f t="array" ref="J2:J4">CHOOSE(MATCH(B2,dictionary!$H$1:$J$1,0),_xlfn._TRO_TRAILING(dictionary!$H$2:$H$8),_xlfn._TRO_TRAILING(dictionary!$I$2:$I$8),_xlfn._TRO_TRAILING(dictionary!$J$2:$J$8))</f>
        <v>Account</v>
      </c>
    </row>
    <row r="3" spans="1:16" x14ac:dyDescent="0.25">
      <c r="A3" s="6">
        <v>4500</v>
      </c>
      <c r="B3" s="5" t="s">
        <v>7</v>
      </c>
      <c r="C3" s="5" t="s">
        <v>8</v>
      </c>
      <c r="D3" s="5" t="s">
        <v>26</v>
      </c>
      <c r="E3" s="5" t="str">
        <f>_xlfn.XLOOKUP(operations[[#This Row],[Category]],categories[Category],categories[Type],"",0,1)</f>
        <v>Income</v>
      </c>
      <c r="F3" s="7">
        <v>45301</v>
      </c>
      <c r="G3" s="5">
        <f>MONTH(operations[[#This Row],[Date]])</f>
        <v>1</v>
      </c>
      <c r="J3" t="str">
        <v>Credit card</v>
      </c>
    </row>
    <row r="4" spans="1:16" x14ac:dyDescent="0.25">
      <c r="A4" s="6">
        <v>-2000</v>
      </c>
      <c r="B4" s="5" t="s">
        <v>7</v>
      </c>
      <c r="C4" s="5" t="s">
        <v>8</v>
      </c>
      <c r="D4" s="5" t="s">
        <v>18</v>
      </c>
      <c r="E4" s="5" t="str">
        <f>_xlfn.XLOOKUP(operations[[#This Row],[Category]],categories[Category],categories[Type],"",0,1)</f>
        <v>Expense</v>
      </c>
      <c r="F4" s="7">
        <v>45302</v>
      </c>
      <c r="G4" s="5">
        <f>MONTH(operations[[#This Row],[Date]])</f>
        <v>1</v>
      </c>
      <c r="J4" t="str">
        <v>Fixed-term deposit</v>
      </c>
    </row>
    <row r="5" spans="1:16" x14ac:dyDescent="0.25">
      <c r="A5" s="6">
        <v>-45</v>
      </c>
      <c r="B5" s="5" t="s">
        <v>11</v>
      </c>
      <c r="C5" s="5" t="s">
        <v>8</v>
      </c>
      <c r="D5" s="5" t="s">
        <v>17</v>
      </c>
      <c r="E5" s="5" t="str">
        <f>_xlfn.XLOOKUP(operations[[#This Row],[Category]],categories[Category],categories[Type],"",0,1)</f>
        <v>Expense</v>
      </c>
      <c r="F5" s="7">
        <v>45305</v>
      </c>
      <c r="G5" s="5">
        <f>MONTH(operations[[#This Row],[Date]])</f>
        <v>1</v>
      </c>
    </row>
    <row r="6" spans="1:16" x14ac:dyDescent="0.25">
      <c r="A6" s="6">
        <v>-150</v>
      </c>
      <c r="B6" s="5" t="s">
        <v>7</v>
      </c>
      <c r="C6" s="5" t="s">
        <v>9</v>
      </c>
      <c r="D6" s="5" t="s">
        <v>19</v>
      </c>
      <c r="E6" s="5" t="str">
        <f>_xlfn.XLOOKUP(operations[[#This Row],[Category]],categories[Category],categories[Type],"",0,1)</f>
        <v>Expense</v>
      </c>
      <c r="F6" s="7">
        <v>45306</v>
      </c>
      <c r="G6" s="5">
        <f>MONTH(operations[[#This Row],[Date]])</f>
        <v>1</v>
      </c>
    </row>
    <row r="7" spans="1:16" x14ac:dyDescent="0.25">
      <c r="A7" s="6">
        <v>-120</v>
      </c>
      <c r="B7" s="5" t="s">
        <v>7</v>
      </c>
      <c r="C7" s="5" t="s">
        <v>8</v>
      </c>
      <c r="D7" s="5" t="s">
        <v>17</v>
      </c>
      <c r="E7" s="5" t="str">
        <f>_xlfn.XLOOKUP(operations[[#This Row],[Category]],categories[Category],categories[Type],"",0,1)</f>
        <v>Expense</v>
      </c>
      <c r="F7" s="7">
        <v>45307</v>
      </c>
      <c r="G7" s="5">
        <f>MONTH(operations[[#This Row],[Date]])</f>
        <v>1</v>
      </c>
      <c r="P7" t="str" cm="1">
        <f t="array" ref="P7:P9">CHOOSE(MATCH(B2,dictionary!$H$1:$J$1,0),_xlfn._TRO_TRAILING(dictionary!$H$2:$H$8),_xlfn._TRO_TRAILING(dictionary!$I$2:$I$8),_xlfn._TRO_TRAILING(dictionary!$J$2:$J$8))</f>
        <v>Account</v>
      </c>
    </row>
    <row r="8" spans="1:16" x14ac:dyDescent="0.25">
      <c r="A8" s="6">
        <v>500</v>
      </c>
      <c r="B8" s="5" t="s">
        <v>7</v>
      </c>
      <c r="C8" s="5" t="s">
        <v>8</v>
      </c>
      <c r="D8" s="5" t="s">
        <v>30</v>
      </c>
      <c r="E8" s="5" t="str">
        <f>_xlfn.XLOOKUP(operations[[#This Row],[Category]],categories[Category],categories[Type],"",0,1)</f>
        <v>Income</v>
      </c>
      <c r="F8" s="7">
        <v>45308</v>
      </c>
      <c r="G8" s="5">
        <f>MONTH(operations[[#This Row],[Date]])</f>
        <v>1</v>
      </c>
      <c r="P8" t="str">
        <v>Credit card</v>
      </c>
    </row>
    <row r="9" spans="1:16" x14ac:dyDescent="0.25">
      <c r="A9" s="6">
        <v>-500</v>
      </c>
      <c r="B9" s="5" t="s">
        <v>7</v>
      </c>
      <c r="C9" s="5" t="s">
        <v>10</v>
      </c>
      <c r="D9" s="5" t="s">
        <v>24</v>
      </c>
      <c r="E9" s="5" t="str">
        <f>_xlfn.XLOOKUP(operations[[#This Row],[Category]],categories[Category],categories[Type],"",0,1)</f>
        <v>Expense</v>
      </c>
      <c r="F9" s="7">
        <v>45308</v>
      </c>
      <c r="G9" s="5">
        <f>MONTH(operations[[#This Row],[Date]])</f>
        <v>1</v>
      </c>
      <c r="P9" t="str">
        <v>Fixed-term deposit</v>
      </c>
    </row>
    <row r="10" spans="1:16" x14ac:dyDescent="0.25">
      <c r="A10" s="6">
        <v>250</v>
      </c>
      <c r="B10" s="5" t="s">
        <v>11</v>
      </c>
      <c r="C10" s="5" t="s">
        <v>12</v>
      </c>
      <c r="D10" s="5" t="s">
        <v>25</v>
      </c>
      <c r="E10" s="5" t="str">
        <f>_xlfn.XLOOKUP(operations[[#This Row],[Category]],categories[Category],categories[Type],"",0,1)</f>
        <v>Income</v>
      </c>
      <c r="F10" s="7">
        <v>45308</v>
      </c>
      <c r="G10" s="5">
        <f>MONTH(operations[[#This Row],[Date]])</f>
        <v>1</v>
      </c>
    </row>
    <row r="11" spans="1:16" x14ac:dyDescent="0.25">
      <c r="A11" s="6">
        <v>-25</v>
      </c>
      <c r="B11" s="5" t="s">
        <v>7</v>
      </c>
      <c r="C11" s="5" t="s">
        <v>9</v>
      </c>
      <c r="D11" s="5" t="s">
        <v>20</v>
      </c>
      <c r="E11" s="5" t="str">
        <f>_xlfn.XLOOKUP(operations[[#This Row],[Category]],categories[Category],categories[Type],"",0,1)</f>
        <v>Expense</v>
      </c>
      <c r="F11" s="7">
        <v>45310</v>
      </c>
      <c r="G11" s="5">
        <f>MONTH(operations[[#This Row],[Date]])</f>
        <v>1</v>
      </c>
    </row>
    <row r="12" spans="1:16" x14ac:dyDescent="0.25">
      <c r="A12" s="6">
        <v>-80</v>
      </c>
      <c r="B12" s="5" t="s">
        <v>7</v>
      </c>
      <c r="C12" s="5" t="s">
        <v>8</v>
      </c>
      <c r="D12" s="5" t="s">
        <v>16</v>
      </c>
      <c r="E12" s="5" t="str">
        <f>_xlfn.XLOOKUP(operations[[#This Row],[Category]],categories[Category],categories[Type],"",0,1)</f>
        <v>Expense</v>
      </c>
      <c r="F12" s="7">
        <v>45311</v>
      </c>
      <c r="G12" s="5">
        <f>MONTH(operations[[#This Row],[Date]])</f>
        <v>1</v>
      </c>
    </row>
    <row r="13" spans="1:16" x14ac:dyDescent="0.25">
      <c r="A13" s="6">
        <v>150</v>
      </c>
      <c r="B13" s="5" t="s">
        <v>11</v>
      </c>
      <c r="C13" s="5" t="s">
        <v>8</v>
      </c>
      <c r="D13" s="5" t="s">
        <v>30</v>
      </c>
      <c r="E13" s="5" t="str">
        <f>_xlfn.XLOOKUP(operations[[#This Row],[Category]],categories[Category],categories[Type],"",0,1)</f>
        <v>Income</v>
      </c>
      <c r="F13" s="7">
        <v>45312</v>
      </c>
      <c r="G13" s="5">
        <f>MONTH(operations[[#This Row],[Date]])</f>
        <v>1</v>
      </c>
    </row>
    <row r="14" spans="1:16" x14ac:dyDescent="0.25">
      <c r="A14" s="6">
        <v>-80</v>
      </c>
      <c r="B14" s="5" t="s">
        <v>11</v>
      </c>
      <c r="C14" s="5" t="s">
        <v>8</v>
      </c>
      <c r="D14" s="5" t="s">
        <v>22</v>
      </c>
      <c r="E14" s="5" t="str">
        <f>_xlfn.XLOOKUP(operations[[#This Row],[Category]],categories[Category],categories[Type],"",0,1)</f>
        <v>Expense</v>
      </c>
      <c r="F14" s="7">
        <v>45313</v>
      </c>
      <c r="G14" s="5">
        <f>MONTH(operations[[#This Row],[Date]])</f>
        <v>1</v>
      </c>
    </row>
    <row r="15" spans="1:16" x14ac:dyDescent="0.25">
      <c r="A15" s="6">
        <v>-60</v>
      </c>
      <c r="B15" s="5" t="s">
        <v>11</v>
      </c>
      <c r="C15" s="5" t="s">
        <v>8</v>
      </c>
      <c r="D15" s="5" t="s">
        <v>20</v>
      </c>
      <c r="E15" s="5" t="str">
        <f>_xlfn.XLOOKUP(operations[[#This Row],[Category]],categories[Category],categories[Type],"",0,1)</f>
        <v>Expense</v>
      </c>
      <c r="F15" s="7">
        <v>45314</v>
      </c>
      <c r="G15" s="5">
        <f>MONTH(operations[[#This Row],[Date]])</f>
        <v>1</v>
      </c>
    </row>
    <row r="16" spans="1:16" x14ac:dyDescent="0.25">
      <c r="A16" s="6">
        <v>-100</v>
      </c>
      <c r="B16" s="5" t="s">
        <v>7</v>
      </c>
      <c r="C16" s="5" t="s">
        <v>8</v>
      </c>
      <c r="D16" s="5" t="s">
        <v>23</v>
      </c>
      <c r="E16" s="5" t="str">
        <f>_xlfn.XLOOKUP(operations[[#This Row],[Category]],categories[Category],categories[Type],"",0,1)</f>
        <v>Expense</v>
      </c>
      <c r="F16" s="7">
        <v>45315</v>
      </c>
      <c r="G16" s="5">
        <f>MONTH(operations[[#This Row],[Date]])</f>
        <v>1</v>
      </c>
    </row>
    <row r="17" spans="1:7" x14ac:dyDescent="0.25">
      <c r="A17" s="6">
        <v>-50</v>
      </c>
      <c r="B17" s="5" t="s">
        <v>13</v>
      </c>
      <c r="C17" s="5" t="s">
        <v>15</v>
      </c>
      <c r="D17" s="5" t="s">
        <v>17</v>
      </c>
      <c r="E17" s="5" t="str">
        <f>_xlfn.XLOOKUP(operations[[#This Row],[Category]],categories[Category],categories[Type],"",0,1)</f>
        <v>Expense</v>
      </c>
      <c r="F17" s="7">
        <v>45316</v>
      </c>
      <c r="G17" s="5">
        <f>MONTH(operations[[#This Row],[Date]])</f>
        <v>1</v>
      </c>
    </row>
    <row r="18" spans="1:7" x14ac:dyDescent="0.25">
      <c r="A18" s="6">
        <v>150</v>
      </c>
      <c r="B18" s="5" t="s">
        <v>13</v>
      </c>
      <c r="C18" s="5" t="s">
        <v>14</v>
      </c>
      <c r="D18" s="5" t="s">
        <v>30</v>
      </c>
      <c r="E18" s="5" t="str">
        <f>_xlfn.XLOOKUP(operations[[#This Row],[Category]],categories[Category],categories[Type],"",0,1)</f>
        <v>Income</v>
      </c>
      <c r="F18" s="7">
        <v>45316</v>
      </c>
      <c r="G18" s="5">
        <f>MONTH(operations[[#This Row],[Date]])</f>
        <v>1</v>
      </c>
    </row>
    <row r="19" spans="1:7" x14ac:dyDescent="0.25">
      <c r="A19" s="6">
        <v>5.5</v>
      </c>
      <c r="B19" s="5" t="s">
        <v>11</v>
      </c>
      <c r="C19" s="5" t="s">
        <v>12</v>
      </c>
      <c r="D19" s="5" t="s">
        <v>28</v>
      </c>
      <c r="E19" s="5" t="str">
        <f>_xlfn.XLOOKUP(operations[[#This Row],[Category]],categories[Category],categories[Type],"",0,1)</f>
        <v>Income</v>
      </c>
      <c r="F19" s="7">
        <v>45317</v>
      </c>
      <c r="G19" s="5">
        <f>MONTH(operations[[#This Row],[Date]])</f>
        <v>1</v>
      </c>
    </row>
    <row r="20" spans="1:7" x14ac:dyDescent="0.25">
      <c r="A20" s="6">
        <v>100</v>
      </c>
      <c r="B20" s="5" t="s">
        <v>7</v>
      </c>
      <c r="C20" s="5" t="s">
        <v>10</v>
      </c>
      <c r="D20" s="5" t="s">
        <v>28</v>
      </c>
      <c r="E20" s="5" t="str">
        <f>_xlfn.XLOOKUP(operations[[#This Row],[Category]],categories[Category],categories[Type],"",0,1)</f>
        <v>Income</v>
      </c>
      <c r="F20" s="7">
        <v>45318</v>
      </c>
      <c r="G20" s="5">
        <f>MONTH(operations[[#This Row],[Date]])</f>
        <v>1</v>
      </c>
    </row>
    <row r="21" spans="1:7" x14ac:dyDescent="0.25">
      <c r="A21" s="6">
        <v>-100</v>
      </c>
      <c r="B21" s="5" t="s">
        <v>7</v>
      </c>
      <c r="C21" s="5" t="s">
        <v>8</v>
      </c>
      <c r="D21" s="5" t="s">
        <v>21</v>
      </c>
      <c r="E21" s="5" t="str">
        <f>_xlfn.XLOOKUP(operations[[#This Row],[Category]],categories[Category],categories[Type],"",0,1)</f>
        <v>Expense</v>
      </c>
      <c r="F21" s="7">
        <v>45319</v>
      </c>
      <c r="G21" s="5">
        <f>MONTH(operations[[#This Row],[Date]])</f>
        <v>1</v>
      </c>
    </row>
    <row r="22" spans="1:7" x14ac:dyDescent="0.25">
      <c r="A22" s="6">
        <v>200</v>
      </c>
      <c r="B22" s="5" t="s">
        <v>11</v>
      </c>
      <c r="C22" s="5" t="s">
        <v>8</v>
      </c>
      <c r="D22" s="5" t="s">
        <v>30</v>
      </c>
      <c r="E22" s="5" t="str">
        <f>_xlfn.XLOOKUP(operations[[#This Row],[Category]],categories[Category],categories[Type],"",0,1)</f>
        <v>Income</v>
      </c>
      <c r="F22" s="7">
        <v>45324</v>
      </c>
      <c r="G22" s="5">
        <f>MONTH(operations[[#This Row],[Date]])</f>
        <v>2</v>
      </c>
    </row>
    <row r="23" spans="1:7" x14ac:dyDescent="0.25">
      <c r="A23" s="6">
        <v>-15</v>
      </c>
      <c r="B23" s="5" t="s">
        <v>11</v>
      </c>
      <c r="C23" s="5" t="s">
        <v>8</v>
      </c>
      <c r="D23" s="5" t="s">
        <v>24</v>
      </c>
      <c r="E23" s="5" t="str">
        <f>_xlfn.XLOOKUP(operations[[#This Row],[Category]],categories[Category],categories[Type],"",0,1)</f>
        <v>Expense</v>
      </c>
      <c r="F23" s="7">
        <v>45326</v>
      </c>
      <c r="G23" s="5">
        <f>MONTH(operations[[#This Row],[Date]])</f>
        <v>2</v>
      </c>
    </row>
    <row r="24" spans="1:7" x14ac:dyDescent="0.25">
      <c r="A24" s="6">
        <v>-5.5</v>
      </c>
      <c r="B24" s="5" t="s">
        <v>7</v>
      </c>
      <c r="C24" s="5" t="s">
        <v>8</v>
      </c>
      <c r="D24" s="5" t="s">
        <v>17</v>
      </c>
      <c r="E24" s="5" t="str">
        <f>_xlfn.XLOOKUP(operations[[#This Row],[Category]],categories[Category],categories[Type],"",0,1)</f>
        <v>Expense</v>
      </c>
      <c r="F24" s="7">
        <v>45328</v>
      </c>
      <c r="G24" s="5">
        <f>MONTH(operations[[#This Row],[Date]])</f>
        <v>2</v>
      </c>
    </row>
    <row r="25" spans="1:7" x14ac:dyDescent="0.25">
      <c r="A25" s="6">
        <v>4500</v>
      </c>
      <c r="B25" s="5" t="s">
        <v>7</v>
      </c>
      <c r="C25" s="5" t="s">
        <v>8</v>
      </c>
      <c r="D25" s="5" t="s">
        <v>26</v>
      </c>
      <c r="E25" s="5" t="str">
        <f>_xlfn.XLOOKUP(operations[[#This Row],[Category]],categories[Category],categories[Type],"",0,1)</f>
        <v>Income</v>
      </c>
      <c r="F25" s="7">
        <v>45332</v>
      </c>
      <c r="G25" s="5">
        <f>MONTH(operations[[#This Row],[Date]])</f>
        <v>2</v>
      </c>
    </row>
    <row r="26" spans="1:7" x14ac:dyDescent="0.25">
      <c r="A26" s="6">
        <v>-2000</v>
      </c>
      <c r="B26" s="5" t="s">
        <v>7</v>
      </c>
      <c r="C26" s="5" t="s">
        <v>8</v>
      </c>
      <c r="D26" s="5" t="s">
        <v>18</v>
      </c>
      <c r="E26" s="5" t="str">
        <f>_xlfn.XLOOKUP(operations[[#This Row],[Category]],categories[Category],categories[Type],"",0,1)</f>
        <v>Expense</v>
      </c>
      <c r="F26" s="7">
        <v>45333</v>
      </c>
      <c r="G26" s="5">
        <f>MONTH(operations[[#This Row],[Date]])</f>
        <v>2</v>
      </c>
    </row>
    <row r="27" spans="1:7" x14ac:dyDescent="0.25">
      <c r="A27" s="6">
        <v>-150</v>
      </c>
      <c r="B27" s="5" t="s">
        <v>7</v>
      </c>
      <c r="C27" s="5" t="s">
        <v>8</v>
      </c>
      <c r="D27" s="5" t="s">
        <v>20</v>
      </c>
      <c r="E27" s="5" t="str">
        <f>_xlfn.XLOOKUP(operations[[#This Row],[Category]],categories[Category],categories[Type],"",0,1)</f>
        <v>Expense</v>
      </c>
      <c r="F27" s="7">
        <v>45335</v>
      </c>
      <c r="G27" s="5">
        <f>MONTH(operations[[#This Row],[Date]])</f>
        <v>2</v>
      </c>
    </row>
    <row r="28" spans="1:7" x14ac:dyDescent="0.25">
      <c r="A28" s="6">
        <v>500</v>
      </c>
      <c r="B28" s="5" t="s">
        <v>7</v>
      </c>
      <c r="C28" s="5" t="s">
        <v>8</v>
      </c>
      <c r="D28" s="5" t="s">
        <v>30</v>
      </c>
      <c r="E28" s="5" t="str">
        <f>_xlfn.XLOOKUP(operations[[#This Row],[Category]],categories[Category],categories[Type],"",0,1)</f>
        <v>Income</v>
      </c>
      <c r="F28" s="7">
        <v>45336</v>
      </c>
      <c r="G28" s="5">
        <f>MONTH(operations[[#This Row],[Date]])</f>
        <v>2</v>
      </c>
    </row>
    <row r="29" spans="1:7" x14ac:dyDescent="0.25">
      <c r="A29" s="6">
        <v>-300</v>
      </c>
      <c r="B29" s="5" t="s">
        <v>7</v>
      </c>
      <c r="C29" s="5" t="s">
        <v>8</v>
      </c>
      <c r="D29" s="5" t="s">
        <v>17</v>
      </c>
      <c r="E29" s="5" t="str">
        <f>_xlfn.XLOOKUP(operations[[#This Row],[Category]],categories[Category],categories[Type],"",0,1)</f>
        <v>Expense</v>
      </c>
      <c r="F29" s="7">
        <v>45336</v>
      </c>
      <c r="G29" s="5">
        <f>MONTH(operations[[#This Row],[Date]])</f>
        <v>2</v>
      </c>
    </row>
    <row r="30" spans="1:7" x14ac:dyDescent="0.25">
      <c r="A30" s="6">
        <v>-500</v>
      </c>
      <c r="B30" s="5" t="s">
        <v>7</v>
      </c>
      <c r="C30" s="5" t="s">
        <v>10</v>
      </c>
      <c r="D30" s="5" t="s">
        <v>24</v>
      </c>
      <c r="E30" s="5" t="str">
        <f>_xlfn.XLOOKUP(operations[[#This Row],[Category]],categories[Category],categories[Type],"",0,1)</f>
        <v>Expense</v>
      </c>
      <c r="F30" s="7">
        <v>45336</v>
      </c>
      <c r="G30" s="5">
        <f>MONTH(operations[[#This Row],[Date]])</f>
        <v>2</v>
      </c>
    </row>
    <row r="31" spans="1:7" x14ac:dyDescent="0.25">
      <c r="A31" s="6">
        <v>-200</v>
      </c>
      <c r="B31" s="5" t="s">
        <v>13</v>
      </c>
      <c r="C31" s="5" t="s">
        <v>14</v>
      </c>
      <c r="D31" s="5" t="s">
        <v>24</v>
      </c>
      <c r="E31" s="5" t="str">
        <f>_xlfn.XLOOKUP(operations[[#This Row],[Category]],categories[Category],categories[Type],"",0,1)</f>
        <v>Expense</v>
      </c>
      <c r="F31" s="7">
        <v>45336</v>
      </c>
      <c r="G31" s="5">
        <f>MONTH(operations[[#This Row],[Date]])</f>
        <v>2</v>
      </c>
    </row>
    <row r="32" spans="1:7" x14ac:dyDescent="0.25">
      <c r="A32" s="6">
        <v>175</v>
      </c>
      <c r="B32" s="5" t="s">
        <v>7</v>
      </c>
      <c r="C32" s="5" t="s">
        <v>9</v>
      </c>
      <c r="D32" s="5" t="s">
        <v>31</v>
      </c>
      <c r="E32" s="5" t="str">
        <f>_xlfn.XLOOKUP(operations[[#This Row],[Category]],categories[Category],categories[Type],"",0,1)</f>
        <v>Transfer</v>
      </c>
      <c r="F32" s="7">
        <v>45337</v>
      </c>
      <c r="G32" s="5">
        <f>MONTH(operations[[#This Row],[Date]])</f>
        <v>2</v>
      </c>
    </row>
    <row r="33" spans="1:7" x14ac:dyDescent="0.25">
      <c r="A33" s="6">
        <v>-175</v>
      </c>
      <c r="B33" s="5" t="s">
        <v>7</v>
      </c>
      <c r="C33" s="5" t="s">
        <v>8</v>
      </c>
      <c r="D33" s="5" t="s">
        <v>31</v>
      </c>
      <c r="E33" s="5" t="str">
        <f>_xlfn.XLOOKUP(operations[[#This Row],[Category]],categories[Category],categories[Type],"",0,1)</f>
        <v>Transfer</v>
      </c>
      <c r="F33" s="7">
        <v>45337</v>
      </c>
      <c r="G33" s="5">
        <f>MONTH(operations[[#This Row],[Date]])</f>
        <v>2</v>
      </c>
    </row>
    <row r="34" spans="1:7" x14ac:dyDescent="0.25">
      <c r="A34" s="6">
        <v>-100</v>
      </c>
      <c r="B34" s="5" t="s">
        <v>7</v>
      </c>
      <c r="C34" s="5" t="s">
        <v>8</v>
      </c>
      <c r="D34" s="5" t="s">
        <v>23</v>
      </c>
      <c r="E34" s="5" t="str">
        <f>_xlfn.XLOOKUP(operations[[#This Row],[Category]],categories[Category],categories[Type],"",0,1)</f>
        <v>Expense</v>
      </c>
      <c r="F34" s="7">
        <v>45339</v>
      </c>
      <c r="G34" s="5">
        <f>MONTH(operations[[#This Row],[Date]])</f>
        <v>2</v>
      </c>
    </row>
    <row r="35" spans="1:7" x14ac:dyDescent="0.25">
      <c r="A35" s="6">
        <v>-80</v>
      </c>
      <c r="B35" s="5" t="s">
        <v>7</v>
      </c>
      <c r="C35" s="5" t="s">
        <v>8</v>
      </c>
      <c r="D35" s="5" t="s">
        <v>16</v>
      </c>
      <c r="E35" s="5" t="str">
        <f>_xlfn.XLOOKUP(operations[[#This Row],[Category]],categories[Category],categories[Type],"",0,1)</f>
        <v>Expense</v>
      </c>
      <c r="F35" s="7">
        <v>45342</v>
      </c>
      <c r="G35" s="5">
        <f>MONTH(operations[[#This Row],[Date]])</f>
        <v>2</v>
      </c>
    </row>
    <row r="36" spans="1:7" x14ac:dyDescent="0.25">
      <c r="A36" s="6">
        <v>150</v>
      </c>
      <c r="B36" s="5" t="s">
        <v>13</v>
      </c>
      <c r="C36" s="5" t="s">
        <v>14</v>
      </c>
      <c r="D36" s="5" t="s">
        <v>30</v>
      </c>
      <c r="E36" s="5" t="str">
        <f>_xlfn.XLOOKUP(operations[[#This Row],[Category]],categories[Category],categories[Type],"",0,1)</f>
        <v>Income</v>
      </c>
      <c r="F36" s="7">
        <v>45344</v>
      </c>
      <c r="G36" s="5">
        <f>MONTH(operations[[#This Row],[Date]])</f>
        <v>2</v>
      </c>
    </row>
    <row r="37" spans="1:7" x14ac:dyDescent="0.25">
      <c r="A37" s="6">
        <v>100</v>
      </c>
      <c r="B37" s="5" t="s">
        <v>13</v>
      </c>
      <c r="C37" s="5" t="s">
        <v>15</v>
      </c>
      <c r="D37" s="5" t="s">
        <v>30</v>
      </c>
      <c r="E37" s="5" t="str">
        <f>_xlfn.XLOOKUP(operations[[#This Row],[Category]],categories[Category],categories[Type],"",0,1)</f>
        <v>Income</v>
      </c>
      <c r="F37" s="7">
        <v>45345</v>
      </c>
      <c r="G37" s="5">
        <f>MONTH(operations[[#This Row],[Date]])</f>
        <v>2</v>
      </c>
    </row>
    <row r="38" spans="1:7" x14ac:dyDescent="0.25">
      <c r="A38" s="6">
        <v>-200</v>
      </c>
      <c r="B38" s="5" t="s">
        <v>13</v>
      </c>
      <c r="C38" s="5" t="s">
        <v>14</v>
      </c>
      <c r="D38" s="5" t="s">
        <v>20</v>
      </c>
      <c r="E38" s="5" t="str">
        <f>_xlfn.XLOOKUP(operations[[#This Row],[Category]],categories[Category],categories[Type],"",0,1)</f>
        <v>Expense</v>
      </c>
      <c r="F38" s="7">
        <v>45346</v>
      </c>
      <c r="G38" s="5">
        <f>MONTH(operations[[#This Row],[Date]])</f>
        <v>2</v>
      </c>
    </row>
    <row r="39" spans="1:7" x14ac:dyDescent="0.25">
      <c r="A39" s="6">
        <v>1000</v>
      </c>
      <c r="B39" s="5" t="s">
        <v>13</v>
      </c>
      <c r="C39" s="5" t="s">
        <v>14</v>
      </c>
      <c r="D39" s="5" t="s">
        <v>30</v>
      </c>
      <c r="E39" s="5" t="str">
        <f>_xlfn.XLOOKUP(operations[[#This Row],[Category]],categories[Category],categories[Type],"",0,1)</f>
        <v>Income</v>
      </c>
      <c r="F39" s="7">
        <v>45347</v>
      </c>
      <c r="G39" s="5">
        <f>MONTH(operations[[#This Row],[Date]])</f>
        <v>2</v>
      </c>
    </row>
    <row r="40" spans="1:7" x14ac:dyDescent="0.25">
      <c r="A40" s="6">
        <v>-250</v>
      </c>
      <c r="B40" s="5" t="s">
        <v>13</v>
      </c>
      <c r="C40" s="5" t="s">
        <v>14</v>
      </c>
      <c r="D40" s="5" t="s">
        <v>21</v>
      </c>
      <c r="E40" s="5" t="str">
        <f>_xlfn.XLOOKUP(operations[[#This Row],[Category]],categories[Category],categories[Type],"",0,1)</f>
        <v>Expense</v>
      </c>
      <c r="F40" s="7">
        <v>45347</v>
      </c>
      <c r="G40" s="5">
        <f>MONTH(operations[[#This Row],[Date]])</f>
        <v>2</v>
      </c>
    </row>
    <row r="41" spans="1:7" x14ac:dyDescent="0.25">
      <c r="A41" s="6">
        <v>-100</v>
      </c>
      <c r="B41" s="5" t="s">
        <v>11</v>
      </c>
      <c r="C41" s="5" t="s">
        <v>8</v>
      </c>
      <c r="D41" s="5" t="s">
        <v>17</v>
      </c>
      <c r="E41" s="5" t="str">
        <f>_xlfn.XLOOKUP(operations[[#This Row],[Category]],categories[Category],categories[Type],"",0,1)</f>
        <v>Expense</v>
      </c>
      <c r="F41" s="7">
        <v>45348</v>
      </c>
      <c r="G41" s="5">
        <f>MONTH(operations[[#This Row],[Date]])</f>
        <v>2</v>
      </c>
    </row>
    <row r="42" spans="1:7" x14ac:dyDescent="0.25">
      <c r="A42" s="6">
        <v>-50</v>
      </c>
      <c r="B42" s="5" t="s">
        <v>11</v>
      </c>
      <c r="C42" s="5" t="s">
        <v>8</v>
      </c>
      <c r="D42" s="5" t="s">
        <v>24</v>
      </c>
      <c r="E42" s="5" t="str">
        <f>_xlfn.XLOOKUP(operations[[#This Row],[Category]],categories[Category],categories[Type],"",0,1)</f>
        <v>Expense</v>
      </c>
      <c r="F42" s="7">
        <v>45348</v>
      </c>
      <c r="G42" s="5">
        <f>MONTH(operations[[#This Row],[Date]])</f>
        <v>2</v>
      </c>
    </row>
    <row r="43" spans="1:7" x14ac:dyDescent="0.25">
      <c r="A43" s="6">
        <v>15</v>
      </c>
      <c r="B43" s="5" t="s">
        <v>11</v>
      </c>
      <c r="C43" s="5" t="s">
        <v>12</v>
      </c>
      <c r="D43" s="5" t="s">
        <v>28</v>
      </c>
      <c r="E43" s="5" t="str">
        <f>_xlfn.XLOOKUP(operations[[#This Row],[Category]],categories[Category],categories[Type],"",0,1)</f>
        <v>Income</v>
      </c>
      <c r="F43" s="7">
        <v>45349</v>
      </c>
      <c r="G43" s="5">
        <f>MONTH(operations[[#This Row],[Date]])</f>
        <v>2</v>
      </c>
    </row>
    <row r="44" spans="1:7" x14ac:dyDescent="0.25">
      <c r="A44" s="6">
        <v>-150</v>
      </c>
      <c r="B44" s="5" t="s">
        <v>7</v>
      </c>
      <c r="C44" s="5" t="s">
        <v>8</v>
      </c>
      <c r="D44" s="5" t="s">
        <v>19</v>
      </c>
      <c r="E44" s="5" t="str">
        <f>_xlfn.XLOOKUP(operations[[#This Row],[Category]],categories[Category],categories[Type],"",0,1)</f>
        <v>Expense</v>
      </c>
      <c r="F44" s="7">
        <v>45350</v>
      </c>
      <c r="G44" s="5">
        <f>MONTH(operations[[#This Row],[Date]])</f>
        <v>2</v>
      </c>
    </row>
    <row r="45" spans="1:7" x14ac:dyDescent="0.25">
      <c r="A45" s="6">
        <v>100</v>
      </c>
      <c r="B45" s="5" t="s">
        <v>7</v>
      </c>
      <c r="C45" s="5" t="s">
        <v>10</v>
      </c>
      <c r="D45" s="5" t="s">
        <v>28</v>
      </c>
      <c r="E45" s="5" t="str">
        <f>_xlfn.XLOOKUP(operations[[#This Row],[Category]],categories[Category],categories[Type],"",0,1)</f>
        <v>Income</v>
      </c>
      <c r="F45" s="7">
        <v>45350</v>
      </c>
      <c r="G45" s="5">
        <f>MONTH(operations[[#This Row],[Date]])</f>
        <v>2</v>
      </c>
    </row>
    <row r="46" spans="1:7" x14ac:dyDescent="0.25">
      <c r="A46" s="6">
        <v>-25</v>
      </c>
      <c r="B46" s="5" t="s">
        <v>7</v>
      </c>
      <c r="C46" s="5" t="s">
        <v>9</v>
      </c>
      <c r="D46" s="5" t="s">
        <v>17</v>
      </c>
      <c r="E46" s="5" t="str">
        <f>_xlfn.XLOOKUP(operations[[#This Row],[Category]],categories[Category],categories[Type],"",0,1)</f>
        <v>Expense</v>
      </c>
      <c r="F46" s="7">
        <v>45352</v>
      </c>
      <c r="G46" s="5">
        <f>MONTH(operations[[#This Row],[Date]])</f>
        <v>3</v>
      </c>
    </row>
    <row r="47" spans="1:7" x14ac:dyDescent="0.25">
      <c r="A47" s="6">
        <v>-135.5</v>
      </c>
      <c r="B47" s="5" t="s">
        <v>7</v>
      </c>
      <c r="C47" s="5" t="s">
        <v>8</v>
      </c>
      <c r="D47" s="5" t="s">
        <v>17</v>
      </c>
      <c r="E47" s="5" t="str">
        <f>_xlfn.XLOOKUP(operations[[#This Row],[Category]],categories[Category],categories[Type],"",0,1)</f>
        <v>Expense</v>
      </c>
      <c r="F47" s="7">
        <v>45353</v>
      </c>
      <c r="G47" s="5">
        <f>MONTH(operations[[#This Row],[Date]])</f>
        <v>3</v>
      </c>
    </row>
    <row r="48" spans="1:7" x14ac:dyDescent="0.25">
      <c r="A48" s="6">
        <v>-82.5</v>
      </c>
      <c r="B48" s="5" t="s">
        <v>11</v>
      </c>
      <c r="C48" s="5" t="s">
        <v>8</v>
      </c>
      <c r="D48" s="5" t="s">
        <v>16</v>
      </c>
      <c r="E48" s="5" t="str">
        <f>_xlfn.XLOOKUP(operations[[#This Row],[Category]],categories[Category],categories[Type],"",0,1)</f>
        <v>Expense</v>
      </c>
      <c r="F48" s="7">
        <v>45353</v>
      </c>
      <c r="G48" s="5">
        <f>MONTH(operations[[#This Row],[Date]])</f>
        <v>3</v>
      </c>
    </row>
    <row r="49" spans="1:7" x14ac:dyDescent="0.25">
      <c r="A49" s="6">
        <v>-200</v>
      </c>
      <c r="B49" s="5" t="s">
        <v>7</v>
      </c>
      <c r="C49" s="5" t="s">
        <v>8</v>
      </c>
      <c r="D49" s="5" t="s">
        <v>20</v>
      </c>
      <c r="E49" s="5" t="str">
        <f>_xlfn.XLOOKUP(operations[[#This Row],[Category]],categories[Category],categories[Type],"",0,1)</f>
        <v>Expense</v>
      </c>
      <c r="F49" s="7">
        <v>45355</v>
      </c>
      <c r="G49" s="5">
        <f>MONTH(operations[[#This Row],[Date]])</f>
        <v>3</v>
      </c>
    </row>
    <row r="50" spans="1:7" x14ac:dyDescent="0.25">
      <c r="A50" s="6">
        <v>150</v>
      </c>
      <c r="B50" s="5" t="s">
        <v>11</v>
      </c>
      <c r="C50" s="5" t="s">
        <v>8</v>
      </c>
      <c r="D50" s="5" t="s">
        <v>28</v>
      </c>
      <c r="E50" s="5" t="str">
        <f>_xlfn.XLOOKUP(operations[[#This Row],[Category]],categories[Category],categories[Type],"",0,1)</f>
        <v>Income</v>
      </c>
      <c r="F50" s="7">
        <v>45357</v>
      </c>
      <c r="G50" s="5">
        <f>MONTH(operations[[#This Row],[Date]])</f>
        <v>3</v>
      </c>
    </row>
    <row r="51" spans="1:7" x14ac:dyDescent="0.25">
      <c r="A51" s="6">
        <v>-24.49</v>
      </c>
      <c r="B51" s="5" t="s">
        <v>13</v>
      </c>
      <c r="C51" s="5" t="s">
        <v>15</v>
      </c>
      <c r="D51" s="5" t="s">
        <v>17</v>
      </c>
      <c r="E51" s="5" t="str">
        <f>_xlfn.XLOOKUP(operations[[#This Row],[Category]],categories[Category],categories[Type],"",0,1)</f>
        <v>Expense</v>
      </c>
      <c r="F51" s="7">
        <v>45359</v>
      </c>
      <c r="G51" s="5">
        <f>MONTH(operations[[#This Row],[Date]])</f>
        <v>3</v>
      </c>
    </row>
    <row r="52" spans="1:7" x14ac:dyDescent="0.25">
      <c r="A52" s="6">
        <v>4500</v>
      </c>
      <c r="B52" s="5" t="s">
        <v>7</v>
      </c>
      <c r="C52" s="5" t="s">
        <v>8</v>
      </c>
      <c r="D52" s="5" t="s">
        <v>26</v>
      </c>
      <c r="E52" s="5" t="str">
        <f>_xlfn.XLOOKUP(operations[[#This Row],[Category]],categories[Category],categories[Type],"",0,1)</f>
        <v>Income</v>
      </c>
      <c r="F52" s="7">
        <v>45361</v>
      </c>
      <c r="G52" s="5">
        <f>MONTH(operations[[#This Row],[Date]])</f>
        <v>3</v>
      </c>
    </row>
    <row r="53" spans="1:7" x14ac:dyDescent="0.25">
      <c r="A53" s="6">
        <v>-2000</v>
      </c>
      <c r="B53" s="5" t="s">
        <v>7</v>
      </c>
      <c r="C53" s="5" t="s">
        <v>8</v>
      </c>
      <c r="D53" s="5" t="s">
        <v>18</v>
      </c>
      <c r="E53" s="5" t="str">
        <f>_xlfn.XLOOKUP(operations[[#This Row],[Category]],categories[Category],categories[Type],"",0,1)</f>
        <v>Expense</v>
      </c>
      <c r="F53" s="7">
        <v>45362</v>
      </c>
      <c r="G53" s="5">
        <f>MONTH(operations[[#This Row],[Date]])</f>
        <v>3</v>
      </c>
    </row>
    <row r="54" spans="1:7" x14ac:dyDescent="0.25">
      <c r="A54" s="6">
        <v>-200</v>
      </c>
      <c r="B54" s="5" t="s">
        <v>7</v>
      </c>
      <c r="C54" s="5" t="s">
        <v>8</v>
      </c>
      <c r="D54" s="5" t="s">
        <v>17</v>
      </c>
      <c r="E54" s="5" t="str">
        <f>_xlfn.XLOOKUP(operations[[#This Row],[Category]],categories[Category],categories[Type],"",0,1)</f>
        <v>Expense</v>
      </c>
      <c r="F54" s="7">
        <v>45363</v>
      </c>
      <c r="G54" s="5">
        <f>MONTH(operations[[#This Row],[Date]])</f>
        <v>3</v>
      </c>
    </row>
    <row r="55" spans="1:7" x14ac:dyDescent="0.25">
      <c r="A55" s="6">
        <v>-469.9</v>
      </c>
      <c r="B55" s="5" t="s">
        <v>7</v>
      </c>
      <c r="C55" s="5" t="s">
        <v>8</v>
      </c>
      <c r="D55" s="5" t="s">
        <v>22</v>
      </c>
      <c r="E55" s="5" t="str">
        <f>_xlfn.XLOOKUP(operations[[#This Row],[Category]],categories[Category],categories[Type],"",0,1)</f>
        <v>Expense</v>
      </c>
      <c r="F55" s="7">
        <v>45364</v>
      </c>
      <c r="G55" s="5">
        <f>MONTH(operations[[#This Row],[Date]])</f>
        <v>3</v>
      </c>
    </row>
    <row r="56" spans="1:7" x14ac:dyDescent="0.25">
      <c r="A56" s="6">
        <v>-9.5</v>
      </c>
      <c r="B56" s="5" t="s">
        <v>13</v>
      </c>
      <c r="C56" s="5" t="s">
        <v>14</v>
      </c>
      <c r="D56" s="5" t="s">
        <v>21</v>
      </c>
      <c r="E56" s="5" t="str">
        <f>_xlfn.XLOOKUP(operations[[#This Row],[Category]],categories[Category],categories[Type],"",0,1)</f>
        <v>Expense</v>
      </c>
      <c r="F56" s="7">
        <v>45368</v>
      </c>
      <c r="G56" s="5">
        <f>MONTH(operations[[#This Row],[Date]])</f>
        <v>3</v>
      </c>
    </row>
    <row r="57" spans="1:7" x14ac:dyDescent="0.25">
      <c r="A57" s="6">
        <v>-23</v>
      </c>
      <c r="B57" s="5" t="s">
        <v>7</v>
      </c>
      <c r="C57" s="5" t="s">
        <v>8</v>
      </c>
      <c r="D57" s="5" t="s">
        <v>19</v>
      </c>
      <c r="E57" s="5" t="str">
        <f>_xlfn.XLOOKUP(operations[[#This Row],[Category]],categories[Category],categories[Type],"",0,1)</f>
        <v>Expense</v>
      </c>
      <c r="F57" s="7">
        <v>45371</v>
      </c>
      <c r="G57" s="5">
        <f>MONTH(operations[[#This Row],[Date]])</f>
        <v>3</v>
      </c>
    </row>
    <row r="58" spans="1:7" x14ac:dyDescent="0.25">
      <c r="A58" s="6">
        <v>-150</v>
      </c>
      <c r="B58" s="5" t="s">
        <v>7</v>
      </c>
      <c r="C58" s="5" t="s">
        <v>8</v>
      </c>
      <c r="D58" s="5" t="s">
        <v>17</v>
      </c>
      <c r="E58" s="5" t="str">
        <f>_xlfn.XLOOKUP(operations[[#This Row],[Category]],categories[Category],categories[Type],"",0,1)</f>
        <v>Expense</v>
      </c>
      <c r="F58" s="7">
        <v>45373</v>
      </c>
      <c r="G58" s="5">
        <f>MONTH(operations[[#This Row],[Date]])</f>
        <v>3</v>
      </c>
    </row>
    <row r="59" spans="1:7" x14ac:dyDescent="0.25">
      <c r="A59" s="6">
        <v>-300</v>
      </c>
      <c r="B59" s="5" t="s">
        <v>7</v>
      </c>
      <c r="C59" s="5" t="s">
        <v>8</v>
      </c>
      <c r="D59" s="5" t="s">
        <v>24</v>
      </c>
      <c r="E59" s="5" t="str">
        <f>_xlfn.XLOOKUP(operations[[#This Row],[Category]],categories[Category],categories[Type],"",0,1)</f>
        <v>Expense</v>
      </c>
      <c r="F59" s="7">
        <v>45375</v>
      </c>
      <c r="G59" s="5">
        <f>MONTH(operations[[#This Row],[Date]])</f>
        <v>3</v>
      </c>
    </row>
    <row r="60" spans="1:7" x14ac:dyDescent="0.25">
      <c r="A60" s="6">
        <v>5</v>
      </c>
      <c r="B60" s="5" t="s">
        <v>11</v>
      </c>
      <c r="C60" s="5" t="s">
        <v>12</v>
      </c>
      <c r="D60" s="5" t="s">
        <v>29</v>
      </c>
      <c r="E60" s="5" t="str">
        <f>_xlfn.XLOOKUP(operations[[#This Row],[Category]],categories[Category],categories[Type],"",0,1)</f>
        <v>Income</v>
      </c>
      <c r="F60" s="7">
        <v>45377</v>
      </c>
      <c r="G60" s="5">
        <f>MONTH(operations[[#This Row],[Date]])</f>
        <v>3</v>
      </c>
    </row>
    <row r="61" spans="1:7" x14ac:dyDescent="0.25">
      <c r="A61" s="6">
        <v>-79.5</v>
      </c>
      <c r="B61" s="5" t="s">
        <v>7</v>
      </c>
      <c r="C61" s="5" t="s">
        <v>9</v>
      </c>
      <c r="D61" s="5" t="s">
        <v>23</v>
      </c>
      <c r="E61" s="5" t="str">
        <f>_xlfn.XLOOKUP(operations[[#This Row],[Category]],categories[Category],categories[Type],"",0,1)</f>
        <v>Expense</v>
      </c>
      <c r="F61" s="7">
        <v>45379</v>
      </c>
      <c r="G61" s="5">
        <f>MONTH(operations[[#This Row],[Date]])</f>
        <v>3</v>
      </c>
    </row>
    <row r="62" spans="1:7" x14ac:dyDescent="0.25">
      <c r="A62" s="6">
        <v>-200</v>
      </c>
      <c r="B62" s="5" t="s">
        <v>7</v>
      </c>
      <c r="C62" s="5" t="s">
        <v>8</v>
      </c>
      <c r="D62" s="5" t="s">
        <v>17</v>
      </c>
      <c r="E62" s="5" t="str">
        <f>_xlfn.XLOOKUP(operations[[#This Row],[Category]],categories[Category],categories[Type],"",0,1)</f>
        <v>Expense</v>
      </c>
      <c r="F62" s="7">
        <v>45381</v>
      </c>
      <c r="G62" s="5">
        <f>MONTH(operations[[#This Row],[Date]])</f>
        <v>3</v>
      </c>
    </row>
    <row r="63" spans="1:7" x14ac:dyDescent="0.25">
      <c r="A63" s="6">
        <v>-23.5</v>
      </c>
      <c r="B63" s="5" t="s">
        <v>7</v>
      </c>
      <c r="C63" s="5" t="s">
        <v>9</v>
      </c>
      <c r="D63" s="5" t="s">
        <v>21</v>
      </c>
      <c r="E63" s="5" t="str">
        <f>_xlfn.XLOOKUP(operations[[#This Row],[Category]],categories[Category],categories[Type],"",0,1)</f>
        <v>Expense</v>
      </c>
      <c r="F63" s="7">
        <v>45383</v>
      </c>
      <c r="G63" s="5">
        <f>MONTH(operations[[#This Row],[Date]])</f>
        <v>4</v>
      </c>
    </row>
    <row r="64" spans="1:7" x14ac:dyDescent="0.25">
      <c r="A64" s="6">
        <v>-82.5</v>
      </c>
      <c r="B64" s="5" t="s">
        <v>7</v>
      </c>
      <c r="C64" s="5" t="s">
        <v>8</v>
      </c>
      <c r="D64" s="5" t="s">
        <v>16</v>
      </c>
      <c r="E64" s="5" t="str">
        <f>_xlfn.XLOOKUP(operations[[#This Row],[Category]],categories[Category],categories[Type],"",0,1)</f>
        <v>Expense</v>
      </c>
      <c r="F64" s="7">
        <v>45384</v>
      </c>
      <c r="G64" s="5">
        <f>MONTH(operations[[#This Row],[Date]])</f>
        <v>4</v>
      </c>
    </row>
    <row r="65" spans="1:7" x14ac:dyDescent="0.25">
      <c r="A65" s="6">
        <v>150</v>
      </c>
      <c r="B65" s="5" t="s">
        <v>11</v>
      </c>
      <c r="C65" s="5" t="s">
        <v>8</v>
      </c>
      <c r="D65" s="5" t="s">
        <v>28</v>
      </c>
      <c r="E65" s="5" t="str">
        <f>_xlfn.XLOOKUP(operations[[#This Row],[Category]],categories[Category],categories[Type],"",0,1)</f>
        <v>Income</v>
      </c>
      <c r="F65" s="7">
        <v>45388</v>
      </c>
      <c r="G65" s="5">
        <f>MONTH(operations[[#This Row],[Date]])</f>
        <v>4</v>
      </c>
    </row>
    <row r="66" spans="1:7" x14ac:dyDescent="0.25">
      <c r="A66" s="6">
        <v>-99.97</v>
      </c>
      <c r="B66" s="5" t="s">
        <v>7</v>
      </c>
      <c r="C66" s="5" t="s">
        <v>8</v>
      </c>
      <c r="D66" s="5" t="s">
        <v>17</v>
      </c>
      <c r="E66" s="5" t="str">
        <f>_xlfn.XLOOKUP(operations[[#This Row],[Category]],categories[Category],categories[Type],"",0,1)</f>
        <v>Expense</v>
      </c>
      <c r="F66" s="7">
        <v>45389</v>
      </c>
      <c r="G66" s="5">
        <f>MONTH(operations[[#This Row],[Date]])</f>
        <v>4</v>
      </c>
    </row>
    <row r="67" spans="1:7" x14ac:dyDescent="0.25">
      <c r="A67" s="6">
        <v>4500</v>
      </c>
      <c r="B67" s="5" t="s">
        <v>7</v>
      </c>
      <c r="C67" s="5" t="s">
        <v>8</v>
      </c>
      <c r="D67" s="5" t="s">
        <v>26</v>
      </c>
      <c r="E67" s="5" t="str">
        <f>_xlfn.XLOOKUP(operations[[#This Row],[Category]],categories[Category],categories[Type],"",0,1)</f>
        <v>Income</v>
      </c>
      <c r="F67" s="7">
        <v>45392</v>
      </c>
      <c r="G67" s="5">
        <f>MONTH(operations[[#This Row],[Date]])</f>
        <v>4</v>
      </c>
    </row>
    <row r="68" spans="1:7" x14ac:dyDescent="0.25">
      <c r="A68" s="6">
        <v>-2000</v>
      </c>
      <c r="B68" s="5" t="s">
        <v>7</v>
      </c>
      <c r="C68" s="5" t="s">
        <v>8</v>
      </c>
      <c r="D68" s="5" t="s">
        <v>18</v>
      </c>
      <c r="E68" s="5" t="str">
        <f>_xlfn.XLOOKUP(operations[[#This Row],[Category]],categories[Category],categories[Type],"",0,1)</f>
        <v>Expense</v>
      </c>
      <c r="F68" s="7">
        <v>45393</v>
      </c>
      <c r="G68" s="5">
        <f>MONTH(operations[[#This Row],[Date]])</f>
        <v>4</v>
      </c>
    </row>
    <row r="69" spans="1:7" x14ac:dyDescent="0.25">
      <c r="A69" s="6">
        <v>-149</v>
      </c>
      <c r="B69" s="5" t="s">
        <v>7</v>
      </c>
      <c r="C69" s="5" t="s">
        <v>8</v>
      </c>
      <c r="D69" s="5" t="s">
        <v>22</v>
      </c>
      <c r="E69" s="5" t="str">
        <f>_xlfn.XLOOKUP(operations[[#This Row],[Category]],categories[Category],categories[Type],"",0,1)</f>
        <v>Expense</v>
      </c>
      <c r="F69" s="7">
        <v>45395</v>
      </c>
      <c r="G69" s="5">
        <f>MONTH(operations[[#This Row],[Date]])</f>
        <v>4</v>
      </c>
    </row>
    <row r="70" spans="1:7" x14ac:dyDescent="0.25">
      <c r="A70" s="6">
        <v>104.5</v>
      </c>
      <c r="B70" s="5" t="s">
        <v>7</v>
      </c>
      <c r="C70" s="5" t="s">
        <v>9</v>
      </c>
      <c r="D70" s="5" t="s">
        <v>31</v>
      </c>
      <c r="E70" s="5" t="str">
        <f>_xlfn.XLOOKUP(operations[[#This Row],[Category]],categories[Category],categories[Type],"",0,1)</f>
        <v>Transfer</v>
      </c>
      <c r="F70" s="7">
        <v>45397</v>
      </c>
      <c r="G70" s="5">
        <f>MONTH(operations[[#This Row],[Date]])</f>
        <v>4</v>
      </c>
    </row>
    <row r="71" spans="1:7" x14ac:dyDescent="0.25">
      <c r="A71" s="6">
        <v>-104.5</v>
      </c>
      <c r="B71" s="5" t="s">
        <v>7</v>
      </c>
      <c r="C71" s="5" t="s">
        <v>8</v>
      </c>
      <c r="D71" s="5" t="s">
        <v>31</v>
      </c>
      <c r="E71" s="5" t="str">
        <f>_xlfn.XLOOKUP(operations[[#This Row],[Category]],categories[Category],categories[Type],"",0,1)</f>
        <v>Transfer</v>
      </c>
      <c r="F71" s="7">
        <v>45397</v>
      </c>
      <c r="G71" s="5">
        <f>MONTH(operations[[#This Row],[Date]])</f>
        <v>4</v>
      </c>
    </row>
    <row r="72" spans="1:7" x14ac:dyDescent="0.25">
      <c r="A72" s="6">
        <v>-49</v>
      </c>
      <c r="B72" s="5" t="s">
        <v>11</v>
      </c>
      <c r="C72" s="5" t="s">
        <v>8</v>
      </c>
      <c r="D72" s="5" t="s">
        <v>19</v>
      </c>
      <c r="E72" s="5" t="str">
        <f>_xlfn.XLOOKUP(operations[[#This Row],[Category]],categories[Category],categories[Type],"",0,1)</f>
        <v>Expense</v>
      </c>
      <c r="F72" s="7">
        <v>45397</v>
      </c>
      <c r="G72" s="5">
        <f>MONTH(operations[[#This Row],[Date]])</f>
        <v>4</v>
      </c>
    </row>
    <row r="73" spans="1:7" x14ac:dyDescent="0.25">
      <c r="A73" s="6">
        <v>-9.99</v>
      </c>
      <c r="B73" s="5" t="s">
        <v>7</v>
      </c>
      <c r="C73" s="5" t="s">
        <v>9</v>
      </c>
      <c r="D73" s="5" t="s">
        <v>17</v>
      </c>
      <c r="E73" s="5" t="str">
        <f>_xlfn.XLOOKUP(operations[[#This Row],[Category]],categories[Category],categories[Type],"",0,1)</f>
        <v>Expense</v>
      </c>
      <c r="F73" s="7">
        <v>45398</v>
      </c>
      <c r="G73" s="5">
        <f>MONTH(operations[[#This Row],[Date]])</f>
        <v>4</v>
      </c>
    </row>
    <row r="74" spans="1:7" x14ac:dyDescent="0.25">
      <c r="A74" s="6">
        <v>-100</v>
      </c>
      <c r="B74" s="5" t="s">
        <v>7</v>
      </c>
      <c r="C74" s="5" t="s">
        <v>8</v>
      </c>
      <c r="D74" s="5" t="s">
        <v>24</v>
      </c>
      <c r="E74" s="5" t="str">
        <f>_xlfn.XLOOKUP(operations[[#This Row],[Category]],categories[Category],categories[Type],"",0,1)</f>
        <v>Expense</v>
      </c>
      <c r="F74" s="7">
        <v>45399</v>
      </c>
      <c r="G74" s="5">
        <f>MONTH(operations[[#This Row],[Date]])</f>
        <v>4</v>
      </c>
    </row>
    <row r="75" spans="1:7" x14ac:dyDescent="0.25">
      <c r="A75" s="6">
        <v>-57.9</v>
      </c>
      <c r="B75" s="5" t="s">
        <v>7</v>
      </c>
      <c r="C75" s="5" t="s">
        <v>9</v>
      </c>
      <c r="D75" s="5" t="s">
        <v>20</v>
      </c>
      <c r="E75" s="5" t="str">
        <f>_xlfn.XLOOKUP(operations[[#This Row],[Category]],categories[Category],categories[Type],"",0,1)</f>
        <v>Expense</v>
      </c>
      <c r="F75" s="7">
        <v>45401</v>
      </c>
      <c r="G75" s="5">
        <f>MONTH(operations[[#This Row],[Date]])</f>
        <v>4</v>
      </c>
    </row>
    <row r="76" spans="1:7" x14ac:dyDescent="0.25">
      <c r="A76" s="6">
        <v>-159.9</v>
      </c>
      <c r="B76" s="5" t="s">
        <v>7</v>
      </c>
      <c r="C76" s="5" t="s">
        <v>8</v>
      </c>
      <c r="D76" s="5" t="s">
        <v>17</v>
      </c>
      <c r="E76" s="5" t="str">
        <f>_xlfn.XLOOKUP(operations[[#This Row],[Category]],categories[Category],categories[Type],"",0,1)</f>
        <v>Expense</v>
      </c>
      <c r="F76" s="7">
        <v>45403</v>
      </c>
      <c r="G76" s="5">
        <f>MONTH(operations[[#This Row],[Date]])</f>
        <v>4</v>
      </c>
    </row>
    <row r="77" spans="1:7" x14ac:dyDescent="0.25">
      <c r="A77" s="6">
        <v>-1000</v>
      </c>
      <c r="B77" s="5" t="s">
        <v>7</v>
      </c>
      <c r="C77" s="5" t="s">
        <v>8</v>
      </c>
      <c r="D77" s="5" t="s">
        <v>20</v>
      </c>
      <c r="E77" s="5" t="str">
        <f>_xlfn.XLOOKUP(operations[[#This Row],[Category]],categories[Category],categories[Type],"",0,1)</f>
        <v>Expense</v>
      </c>
      <c r="F77" s="7">
        <v>45405</v>
      </c>
      <c r="G77" s="5">
        <f>MONTH(operations[[#This Row],[Date]])</f>
        <v>4</v>
      </c>
    </row>
    <row r="78" spans="1:7" x14ac:dyDescent="0.25">
      <c r="A78" s="6">
        <v>50</v>
      </c>
      <c r="B78" s="5" t="s">
        <v>11</v>
      </c>
      <c r="C78" s="5" t="s">
        <v>12</v>
      </c>
      <c r="D78" s="5" t="s">
        <v>29</v>
      </c>
      <c r="E78" s="5" t="str">
        <f>_xlfn.XLOOKUP(operations[[#This Row],[Category]],categories[Category],categories[Type],"",0,1)</f>
        <v>Income</v>
      </c>
      <c r="F78" s="7">
        <v>45407</v>
      </c>
      <c r="G78" s="5">
        <f>MONTH(operations[[#This Row],[Date]])</f>
        <v>4</v>
      </c>
    </row>
    <row r="79" spans="1:7" x14ac:dyDescent="0.25">
      <c r="A79" s="6">
        <v>-69.900000000000006</v>
      </c>
      <c r="B79" s="5" t="s">
        <v>7</v>
      </c>
      <c r="C79" s="5" t="s">
        <v>8</v>
      </c>
      <c r="D79" s="5" t="s">
        <v>17</v>
      </c>
      <c r="E79" s="5" t="str">
        <f>_xlfn.XLOOKUP(operations[[#This Row],[Category]],categories[Category],categories[Type],"",0,1)</f>
        <v>Expense</v>
      </c>
      <c r="F79" s="7">
        <v>45409</v>
      </c>
      <c r="G79" s="5">
        <f>MONTH(operations[[#This Row],[Date]])</f>
        <v>4</v>
      </c>
    </row>
    <row r="80" spans="1:7" x14ac:dyDescent="0.25">
      <c r="A80" s="6">
        <v>-32.5</v>
      </c>
      <c r="B80" s="5" t="s">
        <v>7</v>
      </c>
      <c r="C80" s="5" t="s">
        <v>8</v>
      </c>
      <c r="D80" s="5" t="s">
        <v>17</v>
      </c>
      <c r="E80" s="5" t="str">
        <f>_xlfn.XLOOKUP(operations[[#This Row],[Category]],categories[Category],categories[Type],"",0,1)</f>
        <v>Expense</v>
      </c>
      <c r="F80" s="7">
        <v>45410</v>
      </c>
      <c r="G80" s="5">
        <f>MONTH(operations[[#This Row],[Date]])</f>
        <v>4</v>
      </c>
    </row>
    <row r="81" spans="1:7" x14ac:dyDescent="0.25">
      <c r="A81" s="6">
        <v>-139</v>
      </c>
      <c r="B81" s="5" t="s">
        <v>7</v>
      </c>
      <c r="C81" s="5" t="s">
        <v>8</v>
      </c>
      <c r="D81" s="5" t="s">
        <v>23</v>
      </c>
      <c r="E81" s="5" t="str">
        <f>_xlfn.XLOOKUP(operations[[#This Row],[Category]],categories[Category],categories[Type],"",0,1)</f>
        <v>Expense</v>
      </c>
      <c r="F81" s="7">
        <v>45411</v>
      </c>
      <c r="G81" s="5">
        <f>MONTH(operations[[#This Row],[Date]])</f>
        <v>4</v>
      </c>
    </row>
    <row r="82" spans="1:7" x14ac:dyDescent="0.25">
      <c r="A82" s="6">
        <v>-250</v>
      </c>
      <c r="B82" s="5" t="s">
        <v>7</v>
      </c>
      <c r="C82" s="5" t="s">
        <v>9</v>
      </c>
      <c r="D82" s="5" t="s">
        <v>17</v>
      </c>
      <c r="E82" s="5" t="str">
        <f>_xlfn.XLOOKUP(operations[[#This Row],[Category]],categories[Category],categories[Type],"",0,1)</f>
        <v>Expense</v>
      </c>
      <c r="F82" s="7">
        <v>45419</v>
      </c>
      <c r="G82" s="5">
        <f>MONTH(operations[[#This Row],[Date]])</f>
        <v>5</v>
      </c>
    </row>
    <row r="83" spans="1:7" x14ac:dyDescent="0.25">
      <c r="A83" s="6">
        <v>-80</v>
      </c>
      <c r="B83" s="5" t="s">
        <v>7</v>
      </c>
      <c r="C83" s="5" t="s">
        <v>8</v>
      </c>
      <c r="D83" s="5" t="s">
        <v>16</v>
      </c>
      <c r="E83" s="5" t="str">
        <f>_xlfn.XLOOKUP(operations[[#This Row],[Category]],categories[Category],categories[Type],"",0,1)</f>
        <v>Expense</v>
      </c>
      <c r="F83" s="7">
        <v>45422</v>
      </c>
      <c r="G83" s="5">
        <f>MONTH(operations[[#This Row],[Date]])</f>
        <v>5</v>
      </c>
    </row>
    <row r="84" spans="1:7" x14ac:dyDescent="0.25">
      <c r="A84" s="6">
        <v>4500</v>
      </c>
      <c r="B84" s="5" t="s">
        <v>7</v>
      </c>
      <c r="C84" s="5" t="s">
        <v>8</v>
      </c>
      <c r="D84" s="5" t="s">
        <v>26</v>
      </c>
      <c r="E84" s="5" t="str">
        <f>_xlfn.XLOOKUP(operations[[#This Row],[Category]],categories[Category],categories[Type],"",0,1)</f>
        <v>Income</v>
      </c>
      <c r="F84" s="7">
        <v>45422</v>
      </c>
      <c r="G84" s="5">
        <f>MONTH(operations[[#This Row],[Date]])</f>
        <v>5</v>
      </c>
    </row>
    <row r="85" spans="1:7" x14ac:dyDescent="0.25">
      <c r="A85" s="6">
        <v>-2000</v>
      </c>
      <c r="B85" s="5" t="s">
        <v>7</v>
      </c>
      <c r="C85" s="5" t="s">
        <v>8</v>
      </c>
      <c r="D85" s="5" t="s">
        <v>18</v>
      </c>
      <c r="E85" s="5" t="str">
        <f>_xlfn.XLOOKUP(operations[[#This Row],[Category]],categories[Category],categories[Type],"",0,1)</f>
        <v>Expense</v>
      </c>
      <c r="F85" s="7">
        <v>45423</v>
      </c>
      <c r="G85" s="5">
        <f>MONTH(operations[[#This Row],[Date]])</f>
        <v>5</v>
      </c>
    </row>
    <row r="86" spans="1:7" x14ac:dyDescent="0.25">
      <c r="A86" s="6">
        <v>-250</v>
      </c>
      <c r="B86" s="5" t="s">
        <v>7</v>
      </c>
      <c r="C86" s="5" t="s">
        <v>9</v>
      </c>
      <c r="D86" s="5" t="s">
        <v>17</v>
      </c>
      <c r="E86" s="5" t="str">
        <f>_xlfn.XLOOKUP(operations[[#This Row],[Category]],categories[Category],categories[Type],"",0,1)</f>
        <v>Expense</v>
      </c>
      <c r="F86" s="7">
        <v>45426</v>
      </c>
      <c r="G86" s="5">
        <f>MONTH(operations[[#This Row],[Date]])</f>
        <v>5</v>
      </c>
    </row>
    <row r="87" spans="1:7" x14ac:dyDescent="0.25">
      <c r="A87" s="6">
        <v>91.39</v>
      </c>
      <c r="B87" s="5" t="s">
        <v>7</v>
      </c>
      <c r="C87" s="5" t="s">
        <v>9</v>
      </c>
      <c r="D87" s="5" t="s">
        <v>31</v>
      </c>
      <c r="E87" s="5" t="str">
        <f>_xlfn.XLOOKUP(operations[[#This Row],[Category]],categories[Category],categories[Type],"",0,1)</f>
        <v>Transfer</v>
      </c>
      <c r="F87" s="7">
        <v>45427</v>
      </c>
      <c r="G87" s="5">
        <f>MONTH(operations[[#This Row],[Date]])</f>
        <v>5</v>
      </c>
    </row>
    <row r="88" spans="1:7" x14ac:dyDescent="0.25">
      <c r="A88" s="6">
        <v>-91.39</v>
      </c>
      <c r="B88" s="5" t="s">
        <v>7</v>
      </c>
      <c r="C88" s="5" t="s">
        <v>8</v>
      </c>
      <c r="D88" s="5" t="s">
        <v>31</v>
      </c>
      <c r="E88" s="5" t="str">
        <f>_xlfn.XLOOKUP(operations[[#This Row],[Category]],categories[Category],categories[Type],"",0,1)</f>
        <v>Transfer</v>
      </c>
      <c r="F88" s="7">
        <v>45427</v>
      </c>
      <c r="G88" s="5">
        <f>MONTH(operations[[#This Row],[Date]])</f>
        <v>5</v>
      </c>
    </row>
    <row r="89" spans="1:7" x14ac:dyDescent="0.25">
      <c r="A89" s="6">
        <v>-250</v>
      </c>
      <c r="B89" s="5" t="s">
        <v>7</v>
      </c>
      <c r="C89" s="5" t="s">
        <v>9</v>
      </c>
      <c r="D89" s="5" t="s">
        <v>17</v>
      </c>
      <c r="E89" s="5" t="str">
        <f>_xlfn.XLOOKUP(operations[[#This Row],[Category]],categories[Category],categories[Type],"",0,1)</f>
        <v>Expense</v>
      </c>
      <c r="F89" s="7">
        <v>45433</v>
      </c>
      <c r="G89" s="5">
        <f>MONTH(operations[[#This Row],[Date]])</f>
        <v>5</v>
      </c>
    </row>
    <row r="90" spans="1:7" x14ac:dyDescent="0.25">
      <c r="A90" s="6">
        <v>-250</v>
      </c>
      <c r="B90" s="5" t="s">
        <v>7</v>
      </c>
      <c r="C90" s="5" t="s">
        <v>9</v>
      </c>
      <c r="D90" s="5" t="s">
        <v>17</v>
      </c>
      <c r="E90" s="5" t="str">
        <f>_xlfn.XLOOKUP(operations[[#This Row],[Category]],categories[Category],categories[Type],"",0,1)</f>
        <v>Expense</v>
      </c>
      <c r="F90" s="7">
        <v>45440</v>
      </c>
      <c r="G90" s="5">
        <f>MONTH(operations[[#This Row],[Date]])</f>
        <v>5</v>
      </c>
    </row>
    <row r="91" spans="1:7" x14ac:dyDescent="0.25">
      <c r="A91" s="6">
        <v>-50</v>
      </c>
      <c r="B91" s="5" t="s">
        <v>11</v>
      </c>
      <c r="C91" s="5" t="s">
        <v>8</v>
      </c>
      <c r="D91" s="5" t="s">
        <v>19</v>
      </c>
      <c r="E91" s="5" t="str">
        <f>_xlfn.XLOOKUP(operations[[#This Row],[Category]],categories[Category],categories[Type],"",0,1)</f>
        <v>Expense</v>
      </c>
      <c r="F91" s="7">
        <v>45441</v>
      </c>
      <c r="G91" s="5">
        <f>MONTH(operations[[#This Row],[Date]])</f>
        <v>5</v>
      </c>
    </row>
    <row r="92" spans="1:7" x14ac:dyDescent="0.25">
      <c r="A92" s="6">
        <v>-80</v>
      </c>
      <c r="B92" s="5" t="s">
        <v>13</v>
      </c>
      <c r="C92" s="5" t="s">
        <v>14</v>
      </c>
      <c r="D92" s="5" t="s">
        <v>20</v>
      </c>
      <c r="E92" s="5" t="str">
        <f>_xlfn.XLOOKUP(operations[[#This Row],[Category]],categories[Category],categories[Type],"",0,1)</f>
        <v>Expense</v>
      </c>
      <c r="F92" s="7">
        <v>45442</v>
      </c>
      <c r="G92" s="5">
        <f>MONTH(operations[[#This Row],[Date]])</f>
        <v>5</v>
      </c>
    </row>
    <row r="93" spans="1:7" x14ac:dyDescent="0.25">
      <c r="A93" s="6">
        <v>-250</v>
      </c>
      <c r="B93" s="5" t="s">
        <v>7</v>
      </c>
      <c r="C93" s="5" t="s">
        <v>9</v>
      </c>
      <c r="D93" s="5" t="s">
        <v>17</v>
      </c>
      <c r="E93" s="5" t="str">
        <f>_xlfn.XLOOKUP(operations[[#This Row],[Category]],categories[Category],categories[Type],"",0,1)</f>
        <v>Expense</v>
      </c>
      <c r="F93" s="7">
        <v>45450</v>
      </c>
      <c r="G93" s="5">
        <f>MONTH(operations[[#This Row],[Date]])</f>
        <v>6</v>
      </c>
    </row>
    <row r="94" spans="1:7" x14ac:dyDescent="0.25">
      <c r="A94" s="6">
        <v>-80</v>
      </c>
      <c r="B94" s="5" t="s">
        <v>7</v>
      </c>
      <c r="C94" s="5" t="s">
        <v>8</v>
      </c>
      <c r="D94" s="5" t="s">
        <v>16</v>
      </c>
      <c r="E94" s="5" t="str">
        <f>_xlfn.XLOOKUP(operations[[#This Row],[Category]],categories[Category],categories[Type],"",0,1)</f>
        <v>Expense</v>
      </c>
      <c r="F94" s="7">
        <v>45453</v>
      </c>
      <c r="G94" s="5">
        <f>MONTH(operations[[#This Row],[Date]])</f>
        <v>6</v>
      </c>
    </row>
    <row r="95" spans="1:7" x14ac:dyDescent="0.25">
      <c r="A95" s="6">
        <v>4500</v>
      </c>
      <c r="B95" s="5" t="s">
        <v>7</v>
      </c>
      <c r="C95" s="5" t="s">
        <v>8</v>
      </c>
      <c r="D95" s="5" t="s">
        <v>26</v>
      </c>
      <c r="E95" s="5" t="str">
        <f>_xlfn.XLOOKUP(operations[[#This Row],[Category]],categories[Category],categories[Type],"",0,1)</f>
        <v>Income</v>
      </c>
      <c r="F95" s="7">
        <v>45453</v>
      </c>
      <c r="G95" s="5">
        <f>MONTH(operations[[#This Row],[Date]])</f>
        <v>6</v>
      </c>
    </row>
    <row r="96" spans="1:7" x14ac:dyDescent="0.25">
      <c r="A96" s="6">
        <v>-2000</v>
      </c>
      <c r="B96" s="5" t="s">
        <v>7</v>
      </c>
      <c r="C96" s="5" t="s">
        <v>8</v>
      </c>
      <c r="D96" s="5" t="s">
        <v>18</v>
      </c>
      <c r="E96" s="5" t="str">
        <f>_xlfn.XLOOKUP(operations[[#This Row],[Category]],categories[Category],categories[Type],"",0,1)</f>
        <v>Expense</v>
      </c>
      <c r="F96" s="7">
        <v>45454</v>
      </c>
      <c r="G96" s="5">
        <f>MONTH(operations[[#This Row],[Date]])</f>
        <v>6</v>
      </c>
    </row>
    <row r="97" spans="1:7" x14ac:dyDescent="0.25">
      <c r="A97" s="6">
        <v>-250</v>
      </c>
      <c r="B97" s="5" t="s">
        <v>7</v>
      </c>
      <c r="C97" s="5" t="s">
        <v>9</v>
      </c>
      <c r="D97" s="5" t="s">
        <v>17</v>
      </c>
      <c r="E97" s="5" t="str">
        <f>_xlfn.XLOOKUP(operations[[#This Row],[Category]],categories[Category],categories[Type],"",0,1)</f>
        <v>Expense</v>
      </c>
      <c r="F97" s="7">
        <v>45457</v>
      </c>
      <c r="G97" s="5">
        <f>MONTH(operations[[#This Row],[Date]])</f>
        <v>6</v>
      </c>
    </row>
    <row r="98" spans="1:7" x14ac:dyDescent="0.25">
      <c r="A98" s="6">
        <v>1000</v>
      </c>
      <c r="B98" s="5" t="s">
        <v>7</v>
      </c>
      <c r="C98" s="5" t="s">
        <v>9</v>
      </c>
      <c r="D98" s="5" t="s">
        <v>31</v>
      </c>
      <c r="E98" s="5" t="str">
        <f>_xlfn.XLOOKUP(operations[[#This Row],[Category]],categories[Category],categories[Type],"",0,1)</f>
        <v>Transfer</v>
      </c>
      <c r="F98" s="7">
        <v>45458</v>
      </c>
      <c r="G98" s="5">
        <f>MONTH(operations[[#This Row],[Date]])</f>
        <v>6</v>
      </c>
    </row>
    <row r="99" spans="1:7" x14ac:dyDescent="0.25">
      <c r="A99" s="6">
        <v>-1000</v>
      </c>
      <c r="B99" s="5" t="s">
        <v>7</v>
      </c>
      <c r="C99" s="5" t="s">
        <v>8</v>
      </c>
      <c r="D99" s="5" t="s">
        <v>31</v>
      </c>
      <c r="E99" s="5" t="str">
        <f>_xlfn.XLOOKUP(operations[[#This Row],[Category]],categories[Category],categories[Type],"",0,1)</f>
        <v>Transfer</v>
      </c>
      <c r="F99" s="7">
        <v>45458</v>
      </c>
      <c r="G99" s="5">
        <f>MONTH(operations[[#This Row],[Date]])</f>
        <v>6</v>
      </c>
    </row>
    <row r="100" spans="1:7" x14ac:dyDescent="0.25">
      <c r="A100" s="6">
        <v>-100</v>
      </c>
      <c r="B100" s="5" t="s">
        <v>11</v>
      </c>
      <c r="C100" s="5" t="s">
        <v>8</v>
      </c>
      <c r="D100" s="5" t="s">
        <v>21</v>
      </c>
      <c r="E100" s="5" t="str">
        <f>_xlfn.XLOOKUP(operations[[#This Row],[Category]],categories[Category],categories[Type],"",0,1)</f>
        <v>Expense</v>
      </c>
      <c r="F100" s="7">
        <v>45458</v>
      </c>
      <c r="G100" s="5">
        <f>MONTH(operations[[#This Row],[Date]])</f>
        <v>6</v>
      </c>
    </row>
    <row r="101" spans="1:7" x14ac:dyDescent="0.25">
      <c r="A101" s="6">
        <v>-250</v>
      </c>
      <c r="B101" s="5" t="s">
        <v>7</v>
      </c>
      <c r="C101" s="5" t="s">
        <v>9</v>
      </c>
      <c r="D101" s="5" t="s">
        <v>17</v>
      </c>
      <c r="E101" s="5" t="str">
        <f>_xlfn.XLOOKUP(operations[[#This Row],[Category]],categories[Category],categories[Type],"",0,1)</f>
        <v>Expense</v>
      </c>
      <c r="F101" s="7">
        <v>45464</v>
      </c>
      <c r="G101" s="5">
        <f>MONTH(operations[[#This Row],[Date]])</f>
        <v>6</v>
      </c>
    </row>
    <row r="102" spans="1:7" x14ac:dyDescent="0.25">
      <c r="A102" s="6">
        <v>-250</v>
      </c>
      <c r="B102" s="5" t="s">
        <v>7</v>
      </c>
      <c r="C102" s="5" t="s">
        <v>9</v>
      </c>
      <c r="D102" s="5" t="s">
        <v>17</v>
      </c>
      <c r="E102" s="5" t="str">
        <f>_xlfn.XLOOKUP(operations[[#This Row],[Category]],categories[Category],categories[Type],"",0,1)</f>
        <v>Expense</v>
      </c>
      <c r="F102" s="7">
        <v>45471</v>
      </c>
      <c r="G102" s="5">
        <f>MONTH(operations[[#This Row],[Date]])</f>
        <v>6</v>
      </c>
    </row>
    <row r="103" spans="1:7" x14ac:dyDescent="0.25">
      <c r="A103" s="6">
        <v>-300</v>
      </c>
      <c r="B103" s="5" t="s">
        <v>7</v>
      </c>
      <c r="C103" s="5" t="s">
        <v>9</v>
      </c>
      <c r="D103" s="5" t="s">
        <v>22</v>
      </c>
      <c r="E103" s="5" t="str">
        <f>_xlfn.XLOOKUP(operations[[#This Row],[Category]],categories[Category],categories[Type],"",0,1)</f>
        <v>Expense</v>
      </c>
      <c r="F103" s="7">
        <v>45471</v>
      </c>
      <c r="G103" s="5">
        <f>MONTH(operations[[#This Row],[Date]])</f>
        <v>6</v>
      </c>
    </row>
    <row r="104" spans="1:7" x14ac:dyDescent="0.25">
      <c r="A104" s="6">
        <v>-50</v>
      </c>
      <c r="B104" s="5" t="s">
        <v>11</v>
      </c>
      <c r="C104" s="5" t="s">
        <v>8</v>
      </c>
      <c r="D104" s="5" t="s">
        <v>19</v>
      </c>
      <c r="E104" s="5" t="str">
        <f>_xlfn.XLOOKUP(operations[[#This Row],[Category]],categories[Category],categories[Type],"",0,1)</f>
        <v>Expense</v>
      </c>
      <c r="F104" s="7">
        <v>45472</v>
      </c>
      <c r="G104" s="5">
        <f>MONTH(operations[[#This Row],[Date]])</f>
        <v>6</v>
      </c>
    </row>
    <row r="105" spans="1:7" x14ac:dyDescent="0.25">
      <c r="A105" s="6">
        <v>400</v>
      </c>
      <c r="B105" s="5" t="s">
        <v>11</v>
      </c>
      <c r="C105" s="5" t="s">
        <v>8</v>
      </c>
      <c r="D105" s="5" t="s">
        <v>25</v>
      </c>
      <c r="E105" s="5" t="str">
        <f>_xlfn.XLOOKUP(operations[[#This Row],[Category]],categories[Category],categories[Type],"",0,1)</f>
        <v>Income</v>
      </c>
      <c r="F105" s="7">
        <v>45472</v>
      </c>
      <c r="G105" s="5">
        <f>MONTH(operations[[#This Row],[Date]])</f>
        <v>6</v>
      </c>
    </row>
    <row r="106" spans="1:7" x14ac:dyDescent="0.25">
      <c r="A106" s="6">
        <v>-200</v>
      </c>
      <c r="B106" s="5" t="s">
        <v>13</v>
      </c>
      <c r="C106" s="5" t="s">
        <v>14</v>
      </c>
      <c r="D106" s="5" t="s">
        <v>20</v>
      </c>
      <c r="E106" s="5" t="str">
        <f>_xlfn.XLOOKUP(operations[[#This Row],[Category]],categories[Category],categories[Type],"",0,1)</f>
        <v>Expense</v>
      </c>
      <c r="F106" s="7">
        <v>45473</v>
      </c>
      <c r="G106" s="5">
        <f>MONTH(operations[[#This Row],[Date]])</f>
        <v>6</v>
      </c>
    </row>
    <row r="107" spans="1:7" x14ac:dyDescent="0.25">
      <c r="A107" s="6">
        <v>-30</v>
      </c>
      <c r="B107" s="5" t="s">
        <v>13</v>
      </c>
      <c r="C107" s="5" t="s">
        <v>15</v>
      </c>
      <c r="D107" s="5" t="s">
        <v>17</v>
      </c>
      <c r="E107" s="5" t="str">
        <f>_xlfn.XLOOKUP(operations[[#This Row],[Category]],categories[Category],categories[Type],"",0,1)</f>
        <v>Expense</v>
      </c>
      <c r="F107" s="7">
        <v>45476</v>
      </c>
      <c r="G107" s="5">
        <f>MONTH(operations[[#This Row],[Date]])</f>
        <v>7</v>
      </c>
    </row>
    <row r="108" spans="1:7" x14ac:dyDescent="0.25">
      <c r="A108" s="6">
        <v>-100</v>
      </c>
      <c r="B108" s="5" t="s">
        <v>7</v>
      </c>
      <c r="C108" s="5" t="s">
        <v>8</v>
      </c>
      <c r="D108" s="5" t="s">
        <v>20</v>
      </c>
      <c r="E108" s="5" t="str">
        <f>_xlfn.XLOOKUP(operations[[#This Row],[Category]],categories[Category],categories[Type],"",0,1)</f>
        <v>Expense</v>
      </c>
      <c r="F108" s="7">
        <v>45480</v>
      </c>
      <c r="G108" s="5">
        <f>MONTH(operations[[#This Row],[Date]])</f>
        <v>7</v>
      </c>
    </row>
    <row r="109" spans="1:7" x14ac:dyDescent="0.25">
      <c r="A109" s="6">
        <v>4500</v>
      </c>
      <c r="B109" s="5" t="s">
        <v>7</v>
      </c>
      <c r="C109" s="5" t="s">
        <v>8</v>
      </c>
      <c r="D109" s="5" t="s">
        <v>26</v>
      </c>
      <c r="E109" s="5" t="str">
        <f>_xlfn.XLOOKUP(operations[[#This Row],[Category]],categories[Category],categories[Type],"",0,1)</f>
        <v>Income</v>
      </c>
      <c r="F109" s="7">
        <v>45483</v>
      </c>
      <c r="G109" s="5">
        <f>MONTH(operations[[#This Row],[Date]])</f>
        <v>7</v>
      </c>
    </row>
    <row r="110" spans="1:7" x14ac:dyDescent="0.25">
      <c r="A110" s="6">
        <v>-2000</v>
      </c>
      <c r="B110" s="5" t="s">
        <v>7</v>
      </c>
      <c r="C110" s="5" t="s">
        <v>8</v>
      </c>
      <c r="D110" s="5" t="s">
        <v>18</v>
      </c>
      <c r="E110" s="5" t="str">
        <f>_xlfn.XLOOKUP(operations[[#This Row],[Category]],categories[Category],categories[Type],"",0,1)</f>
        <v>Expense</v>
      </c>
      <c r="F110" s="7">
        <v>45484</v>
      </c>
      <c r="G110" s="5">
        <f>MONTH(operations[[#This Row],[Date]])</f>
        <v>7</v>
      </c>
    </row>
    <row r="111" spans="1:7" x14ac:dyDescent="0.25">
      <c r="A111" s="6">
        <v>-40</v>
      </c>
      <c r="B111" s="5" t="s">
        <v>7</v>
      </c>
      <c r="C111" s="5" t="s">
        <v>9</v>
      </c>
      <c r="D111" s="5" t="s">
        <v>17</v>
      </c>
      <c r="E111" s="5" t="str">
        <f>_xlfn.XLOOKUP(operations[[#This Row],[Category]],categories[Category],categories[Type],"",0,1)</f>
        <v>Expense</v>
      </c>
      <c r="F111" s="7">
        <v>45487</v>
      </c>
      <c r="G111" s="5">
        <f>MONTH(operations[[#This Row],[Date]])</f>
        <v>7</v>
      </c>
    </row>
    <row r="112" spans="1:7" x14ac:dyDescent="0.25">
      <c r="A112" s="6">
        <v>1300</v>
      </c>
      <c r="B112" s="5" t="s">
        <v>7</v>
      </c>
      <c r="C112" s="5" t="s">
        <v>9</v>
      </c>
      <c r="D112" s="5" t="s">
        <v>31</v>
      </c>
      <c r="E112" s="5" t="str">
        <f>_xlfn.XLOOKUP(operations[[#This Row],[Category]],categories[Category],categories[Type],"",0,1)</f>
        <v>Transfer</v>
      </c>
      <c r="F112" s="7">
        <v>45488</v>
      </c>
      <c r="G112" s="5">
        <f>MONTH(operations[[#This Row],[Date]])</f>
        <v>7</v>
      </c>
    </row>
    <row r="113" spans="1:7" x14ac:dyDescent="0.25">
      <c r="A113" s="6">
        <v>-1300</v>
      </c>
      <c r="B113" s="5" t="s">
        <v>7</v>
      </c>
      <c r="C113" s="5" t="s">
        <v>8</v>
      </c>
      <c r="D113" s="5" t="s">
        <v>31</v>
      </c>
      <c r="E113" s="5" t="str">
        <f>_xlfn.XLOOKUP(operations[[#This Row],[Category]],categories[Category],categories[Type],"",0,1)</f>
        <v>Transfer</v>
      </c>
      <c r="F113" s="7">
        <v>45488</v>
      </c>
      <c r="G113" s="5">
        <f>MONTH(operations[[#This Row],[Date]])</f>
        <v>7</v>
      </c>
    </row>
    <row r="114" spans="1:7" x14ac:dyDescent="0.25">
      <c r="A114" s="6">
        <v>-300</v>
      </c>
      <c r="B114" s="5" t="s">
        <v>7</v>
      </c>
      <c r="C114" s="5" t="s">
        <v>10</v>
      </c>
      <c r="D114" s="5" t="s">
        <v>21</v>
      </c>
      <c r="E114" s="5" t="str">
        <f>_xlfn.XLOOKUP(operations[[#This Row],[Category]],categories[Category],categories[Type],"",0,1)</f>
        <v>Expense</v>
      </c>
      <c r="F114" s="7">
        <v>45489</v>
      </c>
      <c r="G114" s="5">
        <f>MONTH(operations[[#This Row],[Date]])</f>
        <v>7</v>
      </c>
    </row>
    <row r="115" spans="1:7" x14ac:dyDescent="0.25">
      <c r="A115" s="6">
        <v>800</v>
      </c>
      <c r="B115" s="5" t="s">
        <v>11</v>
      </c>
      <c r="C115" s="5" t="s">
        <v>12</v>
      </c>
      <c r="D115" s="5" t="s">
        <v>29</v>
      </c>
      <c r="E115" s="5" t="str">
        <f>_xlfn.XLOOKUP(operations[[#This Row],[Category]],categories[Category],categories[Type],"",0,1)</f>
        <v>Income</v>
      </c>
      <c r="F115" s="7">
        <v>45491</v>
      </c>
      <c r="G115" s="5">
        <f>MONTH(operations[[#This Row],[Date]])</f>
        <v>7</v>
      </c>
    </row>
    <row r="116" spans="1:7" x14ac:dyDescent="0.25">
      <c r="A116" s="6">
        <v>-600</v>
      </c>
      <c r="B116" s="5" t="s">
        <v>11</v>
      </c>
      <c r="C116" s="5" t="s">
        <v>8</v>
      </c>
      <c r="D116" s="5" t="s">
        <v>20</v>
      </c>
      <c r="E116" s="5" t="str">
        <f>_xlfn.XLOOKUP(operations[[#This Row],[Category]],categories[Category],categories[Type],"",0,1)</f>
        <v>Expense</v>
      </c>
      <c r="F116" s="7">
        <v>45494</v>
      </c>
      <c r="G116" s="5">
        <f>MONTH(operations[[#This Row],[Date]])</f>
        <v>7</v>
      </c>
    </row>
    <row r="117" spans="1:7" x14ac:dyDescent="0.25">
      <c r="A117" s="6">
        <v>120</v>
      </c>
      <c r="B117" s="5" t="s">
        <v>7</v>
      </c>
      <c r="C117" s="5" t="s">
        <v>10</v>
      </c>
      <c r="D117" s="5" t="s">
        <v>28</v>
      </c>
      <c r="E117" s="5" t="str">
        <f>_xlfn.XLOOKUP(operations[[#This Row],[Category]],categories[Category],categories[Type],"",0,1)</f>
        <v>Income</v>
      </c>
      <c r="F117" s="7">
        <v>45495</v>
      </c>
      <c r="G117" s="5">
        <f>MONTH(operations[[#This Row],[Date]])</f>
        <v>7</v>
      </c>
    </row>
    <row r="118" spans="1:7" x14ac:dyDescent="0.25">
      <c r="A118" s="6">
        <v>-90</v>
      </c>
      <c r="B118" s="5" t="s">
        <v>7</v>
      </c>
      <c r="C118" s="5" t="s">
        <v>8</v>
      </c>
      <c r="D118" s="5" t="s">
        <v>16</v>
      </c>
      <c r="E118" s="5" t="str">
        <f>_xlfn.XLOOKUP(operations[[#This Row],[Category]],categories[Category],categories[Type],"",0,1)</f>
        <v>Expense</v>
      </c>
      <c r="F118" s="7">
        <v>45497</v>
      </c>
      <c r="G118" s="5">
        <f>MONTH(operations[[#This Row],[Date]])</f>
        <v>7</v>
      </c>
    </row>
    <row r="119" spans="1:7" x14ac:dyDescent="0.25">
      <c r="A119" s="6">
        <v>-50</v>
      </c>
      <c r="B119" s="5" t="s">
        <v>7</v>
      </c>
      <c r="C119" s="5" t="s">
        <v>9</v>
      </c>
      <c r="D119" s="5" t="s">
        <v>17</v>
      </c>
      <c r="E119" s="5" t="str">
        <f>_xlfn.XLOOKUP(operations[[#This Row],[Category]],categories[Category],categories[Type],"",0,1)</f>
        <v>Expense</v>
      </c>
      <c r="F119" s="7">
        <v>45499</v>
      </c>
      <c r="G119" s="5">
        <f>MONTH(operations[[#This Row],[Date]])</f>
        <v>7</v>
      </c>
    </row>
    <row r="120" spans="1:7" x14ac:dyDescent="0.25">
      <c r="A120" s="6">
        <v>250</v>
      </c>
      <c r="B120" s="5" t="s">
        <v>11</v>
      </c>
      <c r="C120" s="5" t="s">
        <v>12</v>
      </c>
      <c r="D120" s="5" t="s">
        <v>22</v>
      </c>
      <c r="E120" s="5" t="str">
        <f>_xlfn.XLOOKUP(operations[[#This Row],[Category]],categories[Category],categories[Type],"",0,1)</f>
        <v>Expense</v>
      </c>
      <c r="F120" s="7">
        <v>45502</v>
      </c>
      <c r="G120" s="5">
        <f>MONTH(operations[[#This Row],[Date]])</f>
        <v>7</v>
      </c>
    </row>
    <row r="121" spans="1:7" x14ac:dyDescent="0.25">
      <c r="A121" s="6">
        <v>500</v>
      </c>
      <c r="B121" s="5" t="s">
        <v>11</v>
      </c>
      <c r="C121" s="5" t="s">
        <v>8</v>
      </c>
      <c r="D121" s="5" t="s">
        <v>27</v>
      </c>
      <c r="E121" s="5" t="str">
        <f>_xlfn.XLOOKUP(operations[[#This Row],[Category]],categories[Category],categories[Type],"",0,1)</f>
        <v>Income</v>
      </c>
      <c r="F121" s="7">
        <v>45503</v>
      </c>
      <c r="G121" s="5">
        <f>MONTH(operations[[#This Row],[Date]])</f>
        <v>7</v>
      </c>
    </row>
    <row r="122" spans="1:7" x14ac:dyDescent="0.25">
      <c r="A122" s="6">
        <v>-45</v>
      </c>
      <c r="B122" s="5" t="s">
        <v>7</v>
      </c>
      <c r="C122" s="5" t="s">
        <v>9</v>
      </c>
      <c r="D122" s="5" t="s">
        <v>17</v>
      </c>
      <c r="E122" s="5" t="str">
        <f>_xlfn.XLOOKUP(operations[[#This Row],[Category]],categories[Category],categories[Type],"",0,1)</f>
        <v>Expense</v>
      </c>
      <c r="F122" s="7">
        <v>45504</v>
      </c>
      <c r="G122" s="5">
        <f>MONTH(operations[[#This Row],[Date]])</f>
        <v>7</v>
      </c>
    </row>
    <row r="123" spans="1:7" x14ac:dyDescent="0.25">
      <c r="A123" s="6">
        <v>-600</v>
      </c>
      <c r="B123" s="5" t="s">
        <v>7</v>
      </c>
      <c r="C123" s="5" t="s">
        <v>8</v>
      </c>
      <c r="D123" s="5" t="s">
        <v>17</v>
      </c>
      <c r="E123" s="5" t="str">
        <f>_xlfn.XLOOKUP(operations[[#This Row],[Category]],categories[Category],categories[Type],"",0,1)</f>
        <v>Expense</v>
      </c>
      <c r="F123" s="7">
        <v>45505</v>
      </c>
      <c r="G123" s="5">
        <f>MONTH(operations[[#This Row],[Date]])</f>
        <v>8</v>
      </c>
    </row>
    <row r="124" spans="1:7" x14ac:dyDescent="0.25">
      <c r="A124" s="6">
        <v>-1020</v>
      </c>
      <c r="B124" s="5" t="s">
        <v>7</v>
      </c>
      <c r="C124" s="5" t="s">
        <v>10</v>
      </c>
      <c r="D124" s="5" t="s">
        <v>31</v>
      </c>
      <c r="E124" s="5" t="str">
        <f>_xlfn.XLOOKUP(operations[[#This Row],[Category]],categories[Category],categories[Type],"",0,1)</f>
        <v>Transfer</v>
      </c>
      <c r="F124" s="7">
        <v>45505</v>
      </c>
      <c r="G124" s="5">
        <f>MONTH(operations[[#This Row],[Date]])</f>
        <v>8</v>
      </c>
    </row>
    <row r="125" spans="1:7" x14ac:dyDescent="0.25">
      <c r="A125" s="6">
        <v>-200</v>
      </c>
      <c r="B125" s="5" t="s">
        <v>11</v>
      </c>
      <c r="C125" s="5" t="s">
        <v>8</v>
      </c>
      <c r="D125" s="5" t="s">
        <v>16</v>
      </c>
      <c r="E125" s="5" t="str">
        <f>_xlfn.XLOOKUP(operations[[#This Row],[Category]],categories[Category],categories[Type],"",0,1)</f>
        <v>Expense</v>
      </c>
      <c r="F125" s="7">
        <v>45505</v>
      </c>
      <c r="G125" s="5">
        <f>MONTH(operations[[#This Row],[Date]])</f>
        <v>8</v>
      </c>
    </row>
    <row r="126" spans="1:7" x14ac:dyDescent="0.25">
      <c r="A126" s="6">
        <v>-70</v>
      </c>
      <c r="B126" s="5" t="s">
        <v>7</v>
      </c>
      <c r="C126" s="5" t="s">
        <v>9</v>
      </c>
      <c r="D126" s="5" t="s">
        <v>17</v>
      </c>
      <c r="E126" s="5" t="str">
        <f>_xlfn.XLOOKUP(operations[[#This Row],[Category]],categories[Category],categories[Type],"",0,1)</f>
        <v>Expense</v>
      </c>
      <c r="F126" s="7">
        <v>45513</v>
      </c>
      <c r="G126" s="5">
        <f>MONTH(operations[[#This Row],[Date]])</f>
        <v>8</v>
      </c>
    </row>
    <row r="127" spans="1:7" x14ac:dyDescent="0.25">
      <c r="A127" s="6">
        <v>4500</v>
      </c>
      <c r="B127" s="5" t="s">
        <v>7</v>
      </c>
      <c r="C127" s="5" t="s">
        <v>8</v>
      </c>
      <c r="D127" s="5" t="s">
        <v>26</v>
      </c>
      <c r="E127" s="5" t="str">
        <f>_xlfn.XLOOKUP(operations[[#This Row],[Category]],categories[Category],categories[Type],"",0,1)</f>
        <v>Income</v>
      </c>
      <c r="F127" s="7">
        <v>45514</v>
      </c>
      <c r="G127" s="5">
        <f>MONTH(operations[[#This Row],[Date]])</f>
        <v>8</v>
      </c>
    </row>
    <row r="128" spans="1:7" x14ac:dyDescent="0.25">
      <c r="A128" s="6">
        <v>-2000</v>
      </c>
      <c r="B128" s="5" t="s">
        <v>7</v>
      </c>
      <c r="C128" s="5" t="s">
        <v>8</v>
      </c>
      <c r="D128" s="5" t="s">
        <v>18</v>
      </c>
      <c r="E128" s="5" t="str">
        <f>_xlfn.XLOOKUP(operations[[#This Row],[Category]],categories[Category],categories[Type],"",0,1)</f>
        <v>Expense</v>
      </c>
      <c r="F128" s="7">
        <v>45515</v>
      </c>
      <c r="G128" s="5">
        <f>MONTH(operations[[#This Row],[Date]])</f>
        <v>8</v>
      </c>
    </row>
    <row r="129" spans="1:7" x14ac:dyDescent="0.25">
      <c r="A129" s="6">
        <v>-100</v>
      </c>
      <c r="B129" s="5" t="s">
        <v>11</v>
      </c>
      <c r="C129" s="5" t="s">
        <v>8</v>
      </c>
      <c r="D129" s="5" t="s">
        <v>20</v>
      </c>
      <c r="E129" s="5" t="str">
        <f>_xlfn.XLOOKUP(operations[[#This Row],[Category]],categories[Category],categories[Type],"",0,1)</f>
        <v>Expense</v>
      </c>
      <c r="F129" s="7">
        <v>45518</v>
      </c>
      <c r="G129" s="5">
        <f>MONTH(operations[[#This Row],[Date]])</f>
        <v>8</v>
      </c>
    </row>
    <row r="130" spans="1:7" x14ac:dyDescent="0.25">
      <c r="A130" s="6">
        <v>135</v>
      </c>
      <c r="B130" s="5" t="s">
        <v>7</v>
      </c>
      <c r="C130" s="5" t="s">
        <v>9</v>
      </c>
      <c r="D130" s="5" t="s">
        <v>31</v>
      </c>
      <c r="E130" s="5" t="str">
        <f>_xlfn.XLOOKUP(operations[[#This Row],[Category]],categories[Category],categories[Type],"",0,1)</f>
        <v>Transfer</v>
      </c>
      <c r="F130" s="7">
        <v>45519</v>
      </c>
      <c r="G130" s="5">
        <f>MONTH(operations[[#This Row],[Date]])</f>
        <v>8</v>
      </c>
    </row>
    <row r="131" spans="1:7" x14ac:dyDescent="0.25">
      <c r="A131" s="6">
        <v>-135</v>
      </c>
      <c r="B131" s="5" t="s">
        <v>7</v>
      </c>
      <c r="C131" s="5" t="s">
        <v>8</v>
      </c>
      <c r="D131" s="5" t="s">
        <v>31</v>
      </c>
      <c r="E131" s="5" t="str">
        <f>_xlfn.XLOOKUP(operations[[#This Row],[Category]],categories[Category],categories[Type],"",0,1)</f>
        <v>Transfer</v>
      </c>
      <c r="F131" s="7">
        <v>45519</v>
      </c>
      <c r="G131" s="5">
        <f>MONTH(operations[[#This Row],[Date]])</f>
        <v>8</v>
      </c>
    </row>
    <row r="132" spans="1:7" x14ac:dyDescent="0.25">
      <c r="A132" s="6">
        <v>-400</v>
      </c>
      <c r="B132" s="5" t="s">
        <v>7</v>
      </c>
      <c r="C132" s="5" t="s">
        <v>8</v>
      </c>
      <c r="D132" s="5" t="s">
        <v>21</v>
      </c>
      <c r="E132" s="5" t="str">
        <f>_xlfn.XLOOKUP(operations[[#This Row],[Category]],categories[Category],categories[Type],"",0,1)</f>
        <v>Expense</v>
      </c>
      <c r="F132" s="7">
        <v>45520</v>
      </c>
      <c r="G132" s="5">
        <f>MONTH(operations[[#This Row],[Date]])</f>
        <v>8</v>
      </c>
    </row>
    <row r="133" spans="1:7" x14ac:dyDescent="0.25">
      <c r="A133" s="6">
        <v>-32</v>
      </c>
      <c r="B133" s="5" t="s">
        <v>7</v>
      </c>
      <c r="C133" s="5" t="s">
        <v>9</v>
      </c>
      <c r="D133" s="5" t="s">
        <v>17</v>
      </c>
      <c r="E133" s="5" t="str">
        <f>_xlfn.XLOOKUP(operations[[#This Row],[Category]],categories[Category],categories[Type],"",0,1)</f>
        <v>Expense</v>
      </c>
      <c r="F133" s="7">
        <v>45522</v>
      </c>
      <c r="G133" s="5">
        <f>MONTH(operations[[#This Row],[Date]])</f>
        <v>8</v>
      </c>
    </row>
    <row r="134" spans="1:7" x14ac:dyDescent="0.25">
      <c r="A134" s="6">
        <v>200</v>
      </c>
      <c r="B134" s="5" t="s">
        <v>13</v>
      </c>
      <c r="C134" s="5" t="s">
        <v>14</v>
      </c>
      <c r="D134" s="5" t="s">
        <v>29</v>
      </c>
      <c r="E134" s="5" t="str">
        <f>_xlfn.XLOOKUP(operations[[#This Row],[Category]],categories[Category],categories[Type],"",0,1)</f>
        <v>Income</v>
      </c>
      <c r="F134" s="7">
        <v>45524</v>
      </c>
      <c r="G134" s="5">
        <f>MONTH(operations[[#This Row],[Date]])</f>
        <v>8</v>
      </c>
    </row>
    <row r="135" spans="1:7" x14ac:dyDescent="0.25">
      <c r="A135" s="6">
        <v>-150</v>
      </c>
      <c r="B135" s="5" t="s">
        <v>13</v>
      </c>
      <c r="C135" s="5" t="s">
        <v>14</v>
      </c>
      <c r="D135" s="5" t="s">
        <v>20</v>
      </c>
      <c r="E135" s="5" t="str">
        <f>_xlfn.XLOOKUP(operations[[#This Row],[Category]],categories[Category],categories[Type],"",0,1)</f>
        <v>Expense</v>
      </c>
      <c r="F135" s="7">
        <v>45526</v>
      </c>
      <c r="G135" s="5">
        <f>MONTH(operations[[#This Row],[Date]])</f>
        <v>8</v>
      </c>
    </row>
    <row r="136" spans="1:7" x14ac:dyDescent="0.25">
      <c r="A136" s="6">
        <v>-47.5</v>
      </c>
      <c r="B136" s="5" t="s">
        <v>13</v>
      </c>
      <c r="C136" s="5" t="s">
        <v>14</v>
      </c>
      <c r="D136" s="5" t="s">
        <v>17</v>
      </c>
      <c r="E136" s="5" t="str">
        <f>_xlfn.XLOOKUP(operations[[#This Row],[Category]],categories[Category],categories[Type],"",0,1)</f>
        <v>Expense</v>
      </c>
      <c r="F136" s="7">
        <v>45527</v>
      </c>
      <c r="G136" s="5">
        <f>MONTH(operations[[#This Row],[Date]])</f>
        <v>8</v>
      </c>
    </row>
    <row r="137" spans="1:7" x14ac:dyDescent="0.25">
      <c r="A137" s="6">
        <v>-90</v>
      </c>
      <c r="B137" s="5" t="s">
        <v>7</v>
      </c>
      <c r="C137" s="5" t="s">
        <v>8</v>
      </c>
      <c r="D137" s="5" t="s">
        <v>16</v>
      </c>
      <c r="E137" s="5" t="str">
        <f>_xlfn.XLOOKUP(operations[[#This Row],[Category]],categories[Category],categories[Type],"",0,1)</f>
        <v>Expense</v>
      </c>
      <c r="F137" s="7">
        <v>45528</v>
      </c>
      <c r="G137" s="5">
        <f>MONTH(operations[[#This Row],[Date]])</f>
        <v>8</v>
      </c>
    </row>
    <row r="138" spans="1:7" x14ac:dyDescent="0.25">
      <c r="A138" s="6">
        <v>-300</v>
      </c>
      <c r="B138" s="5" t="s">
        <v>11</v>
      </c>
      <c r="C138" s="5" t="s">
        <v>12</v>
      </c>
      <c r="D138" s="5" t="s">
        <v>22</v>
      </c>
      <c r="E138" s="5" t="str">
        <f>_xlfn.XLOOKUP(operations[[#This Row],[Category]],categories[Category],categories[Type],"",0,1)</f>
        <v>Expense</v>
      </c>
      <c r="F138" s="7">
        <v>45531</v>
      </c>
      <c r="G138" s="5">
        <f>MONTH(operations[[#This Row],[Date]])</f>
        <v>8</v>
      </c>
    </row>
    <row r="139" spans="1:7" x14ac:dyDescent="0.25">
      <c r="A139" s="6">
        <v>500</v>
      </c>
      <c r="B139" s="5" t="s">
        <v>11</v>
      </c>
      <c r="C139" s="5" t="s">
        <v>8</v>
      </c>
      <c r="D139" s="5" t="s">
        <v>27</v>
      </c>
      <c r="E139" s="5" t="str">
        <f>_xlfn.XLOOKUP(operations[[#This Row],[Category]],categories[Category],categories[Type],"",0,1)</f>
        <v>Income</v>
      </c>
      <c r="F139" s="7">
        <v>45534</v>
      </c>
      <c r="G139" s="5">
        <f>MONTH(operations[[#This Row],[Date]])</f>
        <v>8</v>
      </c>
    </row>
    <row r="140" spans="1:7" x14ac:dyDescent="0.25">
      <c r="A140" s="6">
        <v>200</v>
      </c>
      <c r="B140" s="5" t="s">
        <v>7</v>
      </c>
      <c r="C140" s="5" t="s">
        <v>8</v>
      </c>
      <c r="D140" s="5" t="s">
        <v>29</v>
      </c>
      <c r="E140" s="5" t="str">
        <f>_xlfn.XLOOKUP(operations[[#This Row],[Category]],categories[Category],categories[Type],"",0,1)</f>
        <v>Income</v>
      </c>
      <c r="F140" s="7">
        <v>45535</v>
      </c>
      <c r="G140" s="5">
        <f>MONTH(operations[[#This Row],[Date]])</f>
        <v>8</v>
      </c>
    </row>
    <row r="141" spans="1:7" x14ac:dyDescent="0.25">
      <c r="A141" s="6">
        <v>-150</v>
      </c>
      <c r="B141" s="5" t="s">
        <v>7</v>
      </c>
      <c r="C141" s="5" t="s">
        <v>8</v>
      </c>
      <c r="D141" s="5" t="s">
        <v>16</v>
      </c>
      <c r="E141" s="5" t="str">
        <f>_xlfn.XLOOKUP(operations[[#This Row],[Category]],categories[Category],categories[Type],"",0,1)</f>
        <v>Expense</v>
      </c>
      <c r="F141" s="7">
        <v>45536</v>
      </c>
      <c r="G141" s="5">
        <f>MONTH(operations[[#This Row],[Date]])</f>
        <v>9</v>
      </c>
    </row>
    <row r="142" spans="1:7" x14ac:dyDescent="0.25">
      <c r="A142" s="6">
        <v>-20</v>
      </c>
      <c r="B142" s="5" t="s">
        <v>11</v>
      </c>
      <c r="C142" s="5" t="s">
        <v>8</v>
      </c>
      <c r="D142" s="5" t="s">
        <v>17</v>
      </c>
      <c r="E142" s="5" t="str">
        <f>_xlfn.XLOOKUP(operations[[#This Row],[Category]],categories[Category],categories[Type],"",0,1)</f>
        <v>Expense</v>
      </c>
      <c r="F142" s="7">
        <v>45539</v>
      </c>
      <c r="G142" s="5">
        <f>MONTH(operations[[#This Row],[Date]])</f>
        <v>9</v>
      </c>
    </row>
    <row r="143" spans="1:7" x14ac:dyDescent="0.25">
      <c r="A143" s="6">
        <v>-40</v>
      </c>
      <c r="B143" s="5" t="s">
        <v>7</v>
      </c>
      <c r="C143" s="5" t="s">
        <v>8</v>
      </c>
      <c r="D143" s="5" t="s">
        <v>19</v>
      </c>
      <c r="E143" s="5" t="str">
        <f>_xlfn.XLOOKUP(operations[[#This Row],[Category]],categories[Category],categories[Type],"",0,1)</f>
        <v>Expense</v>
      </c>
      <c r="F143" s="7">
        <v>45542</v>
      </c>
      <c r="G143" s="5">
        <f>MONTH(operations[[#This Row],[Date]])</f>
        <v>9</v>
      </c>
    </row>
    <row r="144" spans="1:7" x14ac:dyDescent="0.25">
      <c r="A144" s="6">
        <v>-500</v>
      </c>
      <c r="B144" s="5" t="s">
        <v>7</v>
      </c>
      <c r="C144" s="5" t="s">
        <v>8</v>
      </c>
      <c r="D144" s="5" t="s">
        <v>17</v>
      </c>
      <c r="E144" s="5" t="str">
        <f>_xlfn.XLOOKUP(operations[[#This Row],[Category]],categories[Category],categories[Type],"",0,1)</f>
        <v>Expense</v>
      </c>
      <c r="F144" s="7">
        <v>45543</v>
      </c>
      <c r="G144" s="5">
        <f>MONTH(operations[[#This Row],[Date]])</f>
        <v>9</v>
      </c>
    </row>
    <row r="145" spans="1:7" x14ac:dyDescent="0.25">
      <c r="A145" s="6">
        <v>4500</v>
      </c>
      <c r="B145" s="5" t="s">
        <v>7</v>
      </c>
      <c r="C145" s="5" t="s">
        <v>8</v>
      </c>
      <c r="D145" s="5" t="s">
        <v>26</v>
      </c>
      <c r="E145" s="5" t="str">
        <f>_xlfn.XLOOKUP(operations[[#This Row],[Category]],categories[Category],categories[Type],"",0,1)</f>
        <v>Income</v>
      </c>
      <c r="F145" s="7">
        <v>45545</v>
      </c>
      <c r="G145" s="5">
        <f>MONTH(operations[[#This Row],[Date]])</f>
        <v>9</v>
      </c>
    </row>
    <row r="146" spans="1:7" x14ac:dyDescent="0.25">
      <c r="A146" s="6">
        <v>-20</v>
      </c>
      <c r="B146" s="5" t="s">
        <v>7</v>
      </c>
      <c r="C146" s="5" t="s">
        <v>9</v>
      </c>
      <c r="D146" s="5" t="s">
        <v>20</v>
      </c>
      <c r="E146" s="5" t="str">
        <f>_xlfn.XLOOKUP(operations[[#This Row],[Category]],categories[Category],categories[Type],"",0,1)</f>
        <v>Expense</v>
      </c>
      <c r="F146" s="7">
        <v>45546</v>
      </c>
      <c r="G146" s="5">
        <f>MONTH(operations[[#This Row],[Date]])</f>
        <v>9</v>
      </c>
    </row>
    <row r="147" spans="1:7" x14ac:dyDescent="0.25">
      <c r="A147" s="6">
        <v>-2000</v>
      </c>
      <c r="B147" s="5" t="s">
        <v>7</v>
      </c>
      <c r="C147" s="5" t="s">
        <v>8</v>
      </c>
      <c r="D147" s="5" t="s">
        <v>18</v>
      </c>
      <c r="E147" s="5" t="str">
        <f>_xlfn.XLOOKUP(operations[[#This Row],[Category]],categories[Category],categories[Type],"",0,1)</f>
        <v>Expense</v>
      </c>
      <c r="F147" s="7">
        <v>45546</v>
      </c>
      <c r="G147" s="5">
        <f>MONTH(operations[[#This Row],[Date]])</f>
        <v>9</v>
      </c>
    </row>
    <row r="148" spans="1:7" x14ac:dyDescent="0.25">
      <c r="A148" s="6">
        <v>102</v>
      </c>
      <c r="B148" s="5" t="s">
        <v>7</v>
      </c>
      <c r="C148" s="5" t="s">
        <v>9</v>
      </c>
      <c r="D148" s="5" t="s">
        <v>31</v>
      </c>
      <c r="E148" s="5" t="str">
        <f>_xlfn.XLOOKUP(operations[[#This Row],[Category]],categories[Category],categories[Type],"",0,1)</f>
        <v>Transfer</v>
      </c>
      <c r="F148" s="7">
        <v>45550</v>
      </c>
      <c r="G148" s="5">
        <f>MONTH(operations[[#This Row],[Date]])</f>
        <v>9</v>
      </c>
    </row>
    <row r="149" spans="1:7" x14ac:dyDescent="0.25">
      <c r="A149" s="6">
        <v>-102</v>
      </c>
      <c r="B149" s="5" t="s">
        <v>7</v>
      </c>
      <c r="C149" s="5" t="s">
        <v>8</v>
      </c>
      <c r="D149" s="5" t="s">
        <v>31</v>
      </c>
      <c r="E149" s="5" t="str">
        <f>_xlfn.XLOOKUP(operations[[#This Row],[Category]],categories[Category],categories[Type],"",0,1)</f>
        <v>Transfer</v>
      </c>
      <c r="F149" s="7">
        <v>45550</v>
      </c>
      <c r="G149" s="5">
        <f>MONTH(operations[[#This Row],[Date]])</f>
        <v>9</v>
      </c>
    </row>
    <row r="150" spans="1:7" x14ac:dyDescent="0.25">
      <c r="A150" s="6">
        <v>-18.5</v>
      </c>
      <c r="B150" s="5" t="s">
        <v>7</v>
      </c>
      <c r="C150" s="5" t="s">
        <v>8</v>
      </c>
      <c r="D150" s="5" t="s">
        <v>17</v>
      </c>
      <c r="E150" s="5" t="str">
        <f>_xlfn.XLOOKUP(operations[[#This Row],[Category]],categories[Category],categories[Type],"",0,1)</f>
        <v>Expense</v>
      </c>
      <c r="F150" s="7">
        <v>45553</v>
      </c>
      <c r="G150" s="5">
        <f>MONTH(operations[[#This Row],[Date]])</f>
        <v>9</v>
      </c>
    </row>
    <row r="151" spans="1:7" x14ac:dyDescent="0.25">
      <c r="A151" s="6">
        <v>-150</v>
      </c>
      <c r="B151" s="5" t="s">
        <v>7</v>
      </c>
      <c r="C151" s="5" t="s">
        <v>8</v>
      </c>
      <c r="D151" s="5" t="s">
        <v>16</v>
      </c>
      <c r="E151" s="5" t="str">
        <f>_xlfn.XLOOKUP(operations[[#This Row],[Category]],categories[Category],categories[Type],"",0,1)</f>
        <v>Expense</v>
      </c>
      <c r="F151" s="7">
        <v>45566</v>
      </c>
      <c r="G151" s="5">
        <f>MONTH(operations[[#This Row],[Date]])</f>
        <v>10</v>
      </c>
    </row>
    <row r="152" spans="1:7" x14ac:dyDescent="0.25">
      <c r="A152" s="6">
        <v>-40</v>
      </c>
      <c r="B152" s="5" t="s">
        <v>7</v>
      </c>
      <c r="C152" s="5" t="s">
        <v>8</v>
      </c>
      <c r="D152" s="5" t="s">
        <v>19</v>
      </c>
      <c r="E152" s="5" t="str">
        <f>_xlfn.XLOOKUP(operations[[#This Row],[Category]],categories[Category],categories[Type],"",0,1)</f>
        <v>Expense</v>
      </c>
      <c r="F152" s="7">
        <v>45572</v>
      </c>
      <c r="G152" s="5">
        <f>MONTH(operations[[#This Row],[Date]])</f>
        <v>10</v>
      </c>
    </row>
    <row r="153" spans="1:7" x14ac:dyDescent="0.25">
      <c r="A153" s="6">
        <v>-600</v>
      </c>
      <c r="B153" s="5" t="s">
        <v>7</v>
      </c>
      <c r="C153" s="5" t="s">
        <v>8</v>
      </c>
      <c r="D153" s="5" t="s">
        <v>17</v>
      </c>
      <c r="E153" s="5" t="str">
        <f>_xlfn.XLOOKUP(operations[[#This Row],[Category]],categories[Category],categories[Type],"",0,1)</f>
        <v>Expense</v>
      </c>
      <c r="F153" s="7">
        <v>45573</v>
      </c>
      <c r="G153" s="5">
        <f>MONTH(operations[[#This Row],[Date]])</f>
        <v>10</v>
      </c>
    </row>
    <row r="154" spans="1:7" x14ac:dyDescent="0.25">
      <c r="A154" s="6">
        <v>4500</v>
      </c>
      <c r="B154" s="5" t="s">
        <v>7</v>
      </c>
      <c r="C154" s="5" t="s">
        <v>8</v>
      </c>
      <c r="D154" s="5" t="s">
        <v>26</v>
      </c>
      <c r="E154" s="5" t="str">
        <f>_xlfn.XLOOKUP(operations[[#This Row],[Category]],categories[Category],categories[Type],"",0,1)</f>
        <v>Income</v>
      </c>
      <c r="F154" s="7">
        <v>45575</v>
      </c>
      <c r="G154" s="5">
        <f>MONTH(operations[[#This Row],[Date]])</f>
        <v>10</v>
      </c>
    </row>
    <row r="155" spans="1:7" x14ac:dyDescent="0.25">
      <c r="A155" s="6">
        <v>-40</v>
      </c>
      <c r="B155" s="5" t="s">
        <v>7</v>
      </c>
      <c r="C155" s="5" t="s">
        <v>9</v>
      </c>
      <c r="D155" s="5" t="s">
        <v>20</v>
      </c>
      <c r="E155" s="5" t="str">
        <f>_xlfn.XLOOKUP(operations[[#This Row],[Category]],categories[Category],categories[Type],"",0,1)</f>
        <v>Expense</v>
      </c>
      <c r="F155" s="7">
        <v>45576</v>
      </c>
      <c r="G155" s="5">
        <f>MONTH(operations[[#This Row],[Date]])</f>
        <v>10</v>
      </c>
    </row>
    <row r="156" spans="1:7" x14ac:dyDescent="0.25">
      <c r="A156" s="6">
        <v>-2000</v>
      </c>
      <c r="B156" s="5" t="s">
        <v>7</v>
      </c>
      <c r="C156" s="5" t="s">
        <v>8</v>
      </c>
      <c r="D156" s="5" t="s">
        <v>18</v>
      </c>
      <c r="E156" s="5" t="str">
        <f>_xlfn.XLOOKUP(operations[[#This Row],[Category]],categories[Category],categories[Type],"",0,1)</f>
        <v>Expense</v>
      </c>
      <c r="F156" s="7">
        <v>45576</v>
      </c>
      <c r="G156" s="5">
        <f>MONTH(operations[[#This Row],[Date]])</f>
        <v>10</v>
      </c>
    </row>
    <row r="157" spans="1:7" x14ac:dyDescent="0.25">
      <c r="A157" s="6">
        <v>20</v>
      </c>
      <c r="B157" s="5" t="s">
        <v>7</v>
      </c>
      <c r="C157" s="5" t="s">
        <v>9</v>
      </c>
      <c r="D157" s="5" t="s">
        <v>31</v>
      </c>
      <c r="E157" s="5" t="str">
        <f>_xlfn.XLOOKUP(operations[[#This Row],[Category]],categories[Category],categories[Type],"",0,1)</f>
        <v>Transfer</v>
      </c>
      <c r="F157" s="7">
        <v>45580</v>
      </c>
      <c r="G157" s="5">
        <f>MONTH(operations[[#This Row],[Date]])</f>
        <v>10</v>
      </c>
    </row>
    <row r="158" spans="1:7" x14ac:dyDescent="0.25">
      <c r="A158" s="6">
        <v>-20</v>
      </c>
      <c r="B158" s="5" t="s">
        <v>7</v>
      </c>
      <c r="C158" s="5" t="s">
        <v>8</v>
      </c>
      <c r="D158" s="5" t="s">
        <v>31</v>
      </c>
      <c r="E158" s="5" t="str">
        <f>_xlfn.XLOOKUP(operations[[#This Row],[Category]],categories[Category],categories[Type],"",0,1)</f>
        <v>Transfer</v>
      </c>
      <c r="F158" s="7">
        <v>45580</v>
      </c>
      <c r="G158" s="5">
        <f>MONTH(operations[[#This Row],[Date]])</f>
        <v>10</v>
      </c>
    </row>
    <row r="159" spans="1:7" x14ac:dyDescent="0.25">
      <c r="A159" s="6">
        <v>4500</v>
      </c>
      <c r="B159" s="5" t="s">
        <v>7</v>
      </c>
      <c r="C159" s="5" t="s">
        <v>8</v>
      </c>
      <c r="D159" s="5" t="s">
        <v>26</v>
      </c>
      <c r="E159" s="5" t="str">
        <f>_xlfn.XLOOKUP(operations[[#This Row],[Category]],categories[Category],categories[Type],"",0,1)</f>
        <v>Income</v>
      </c>
      <c r="F159" s="7">
        <v>45606</v>
      </c>
      <c r="G159" s="5">
        <f>MONTH(operations[[#This Row],[Date]])</f>
        <v>11</v>
      </c>
    </row>
    <row r="160" spans="1:7" x14ac:dyDescent="0.25">
      <c r="A160" s="6">
        <v>-2000</v>
      </c>
      <c r="B160" s="5" t="s">
        <v>7</v>
      </c>
      <c r="C160" s="5" t="s">
        <v>8</v>
      </c>
      <c r="D160" s="5" t="s">
        <v>18</v>
      </c>
      <c r="E160" s="5" t="str">
        <f>_xlfn.XLOOKUP(operations[[#This Row],[Category]],categories[Category],categories[Type],"",0,1)</f>
        <v>Expense</v>
      </c>
      <c r="F160" s="7">
        <v>45607</v>
      </c>
      <c r="G160" s="5">
        <f>MONTH(operations[[#This Row],[Date]])</f>
        <v>11</v>
      </c>
    </row>
    <row r="161" spans="1:7" x14ac:dyDescent="0.25">
      <c r="A161" s="6">
        <v>-82</v>
      </c>
      <c r="B161" s="5" t="s">
        <v>7</v>
      </c>
      <c r="C161" s="5" t="s">
        <v>8</v>
      </c>
      <c r="D161" s="5" t="s">
        <v>16</v>
      </c>
      <c r="E161" s="5" t="str">
        <f>_xlfn.XLOOKUP(operations[[#This Row],[Category]],categories[Category],categories[Type],"",0,1)</f>
        <v>Expense</v>
      </c>
      <c r="F161" s="7">
        <v>45607</v>
      </c>
      <c r="G161" s="5">
        <f>MONTH(operations[[#This Row],[Date]])</f>
        <v>11</v>
      </c>
    </row>
    <row r="162" spans="1:7" x14ac:dyDescent="0.25">
      <c r="A162" s="6">
        <v>-200</v>
      </c>
      <c r="B162" s="5" t="s">
        <v>7</v>
      </c>
      <c r="C162" s="5" t="s">
        <v>8</v>
      </c>
      <c r="D162" s="5" t="s">
        <v>17</v>
      </c>
      <c r="E162" s="5" t="str">
        <f>_xlfn.XLOOKUP(operations[[#This Row],[Category]],categories[Category],categories[Type],"",0,1)</f>
        <v>Expense</v>
      </c>
      <c r="F162" s="7">
        <v>45607</v>
      </c>
      <c r="G162" s="5">
        <f>MONTH(operations[[#This Row],[Date]])</f>
        <v>11</v>
      </c>
    </row>
    <row r="163" spans="1:7" x14ac:dyDescent="0.25">
      <c r="A163" s="6">
        <v>-12</v>
      </c>
      <c r="B163" s="5" t="s">
        <v>7</v>
      </c>
      <c r="C163" s="5" t="s">
        <v>8</v>
      </c>
      <c r="D163" s="5" t="s">
        <v>19</v>
      </c>
      <c r="E163" s="5" t="str">
        <f>_xlfn.XLOOKUP(operations[[#This Row],[Category]],categories[Category],categories[Type],"",0,1)</f>
        <v>Expense</v>
      </c>
      <c r="F163" s="7">
        <v>45608</v>
      </c>
      <c r="G163" s="5">
        <f>MONTH(operations[[#This Row],[Date]])</f>
        <v>11</v>
      </c>
    </row>
    <row r="164" spans="1:7" x14ac:dyDescent="0.25">
      <c r="A164" s="6">
        <v>-90</v>
      </c>
      <c r="B164" s="5" t="s">
        <v>7</v>
      </c>
      <c r="C164" s="5" t="s">
        <v>8</v>
      </c>
      <c r="D164" s="5" t="s">
        <v>20</v>
      </c>
      <c r="E164" s="5" t="str">
        <f>_xlfn.XLOOKUP(operations[[#This Row],[Category]],categories[Category],categories[Type],"",0,1)</f>
        <v>Expense</v>
      </c>
      <c r="F164" s="7">
        <v>45610</v>
      </c>
      <c r="G164" s="5">
        <f>MONTH(operations[[#This Row],[Date]])</f>
        <v>11</v>
      </c>
    </row>
    <row r="165" spans="1:7" x14ac:dyDescent="0.25">
      <c r="A165" s="6">
        <v>40</v>
      </c>
      <c r="B165" s="5" t="s">
        <v>7</v>
      </c>
      <c r="C165" s="5" t="s">
        <v>9</v>
      </c>
      <c r="D165" s="5" t="s">
        <v>31</v>
      </c>
      <c r="E165" s="5" t="str">
        <f>_xlfn.XLOOKUP(operations[[#This Row],[Category]],categories[Category],categories[Type],"",0,1)</f>
        <v>Transfer</v>
      </c>
      <c r="F165" s="7">
        <v>45611</v>
      </c>
      <c r="G165" s="5">
        <f>MONTH(operations[[#This Row],[Date]])</f>
        <v>11</v>
      </c>
    </row>
    <row r="166" spans="1:7" x14ac:dyDescent="0.25">
      <c r="A166" s="6">
        <v>-40</v>
      </c>
      <c r="B166" s="5" t="s">
        <v>7</v>
      </c>
      <c r="C166" s="5" t="s">
        <v>8</v>
      </c>
      <c r="D166" s="5" t="s">
        <v>31</v>
      </c>
      <c r="E166" s="5" t="str">
        <f>_xlfn.XLOOKUP(operations[[#This Row],[Category]],categories[Category],categories[Type],"",0,1)</f>
        <v>Transfer</v>
      </c>
      <c r="F166" s="7">
        <v>45611</v>
      </c>
      <c r="G166" s="5">
        <f>MONTH(operations[[#This Row],[Date]])</f>
        <v>11</v>
      </c>
    </row>
    <row r="167" spans="1:7" x14ac:dyDescent="0.25">
      <c r="A167" s="6">
        <v>-28</v>
      </c>
      <c r="B167" s="5" t="s">
        <v>7</v>
      </c>
      <c r="C167" s="5" t="s">
        <v>8</v>
      </c>
      <c r="D167" s="5" t="s">
        <v>17</v>
      </c>
      <c r="E167" s="5" t="str">
        <f>_xlfn.XLOOKUP(operations[[#This Row],[Category]],categories[Category],categories[Type],"",0,1)</f>
        <v>Expense</v>
      </c>
      <c r="F167" s="7">
        <v>45612</v>
      </c>
      <c r="G167" s="5">
        <f>MONTH(operations[[#This Row],[Date]])</f>
        <v>11</v>
      </c>
    </row>
    <row r="168" spans="1:7" x14ac:dyDescent="0.25">
      <c r="A168" s="6">
        <v>-63</v>
      </c>
      <c r="B168" s="5" t="s">
        <v>7</v>
      </c>
      <c r="C168" s="5" t="s">
        <v>8</v>
      </c>
      <c r="D168" s="5" t="s">
        <v>21</v>
      </c>
      <c r="E168" s="5" t="str">
        <f>_xlfn.XLOOKUP(operations[[#This Row],[Category]],categories[Category],categories[Type],"",0,1)</f>
        <v>Expense</v>
      </c>
      <c r="F168" s="7">
        <v>45613</v>
      </c>
      <c r="G168" s="5">
        <f>MONTH(operations[[#This Row],[Date]])</f>
        <v>11</v>
      </c>
    </row>
    <row r="169" spans="1:7" x14ac:dyDescent="0.25">
      <c r="A169" s="6">
        <v>-15</v>
      </c>
      <c r="B169" s="5" t="s">
        <v>7</v>
      </c>
      <c r="C169" s="5" t="s">
        <v>8</v>
      </c>
      <c r="D169" s="5" t="s">
        <v>16</v>
      </c>
      <c r="E169" s="5" t="str">
        <f>_xlfn.XLOOKUP(operations[[#This Row],[Category]],categories[Category],categories[Type],"",0,1)</f>
        <v>Expense</v>
      </c>
      <c r="F169" s="7">
        <v>45613</v>
      </c>
      <c r="G169" s="5">
        <f>MONTH(operations[[#This Row],[Date]])</f>
        <v>11</v>
      </c>
    </row>
    <row r="170" spans="1:7" x14ac:dyDescent="0.25">
      <c r="A170" s="6">
        <v>-44</v>
      </c>
      <c r="B170" s="5" t="s">
        <v>7</v>
      </c>
      <c r="C170" s="5" t="s">
        <v>8</v>
      </c>
      <c r="D170" s="5" t="s">
        <v>17</v>
      </c>
      <c r="E170" s="5" t="str">
        <f>_xlfn.XLOOKUP(operations[[#This Row],[Category]],categories[Category],categories[Type],"",0,1)</f>
        <v>Expense</v>
      </c>
      <c r="F170" s="7">
        <v>45615</v>
      </c>
      <c r="G170" s="5">
        <f>MONTH(operations[[#This Row],[Date]])</f>
        <v>11</v>
      </c>
    </row>
    <row r="171" spans="1:7" x14ac:dyDescent="0.25">
      <c r="A171" s="6">
        <v>-107</v>
      </c>
      <c r="B171" s="5" t="s">
        <v>7</v>
      </c>
      <c r="C171" s="5" t="s">
        <v>8</v>
      </c>
      <c r="D171" s="5" t="s">
        <v>22</v>
      </c>
      <c r="E171" s="5" t="str">
        <f>_xlfn.XLOOKUP(operations[[#This Row],[Category]],categories[Category],categories[Type],"",0,1)</f>
        <v>Expense</v>
      </c>
      <c r="F171" s="7">
        <v>45616</v>
      </c>
      <c r="G171" s="5">
        <f>MONTH(operations[[#This Row],[Date]])</f>
        <v>11</v>
      </c>
    </row>
    <row r="172" spans="1:7" x14ac:dyDescent="0.25">
      <c r="A172" s="6">
        <v>-169</v>
      </c>
      <c r="B172" s="5" t="s">
        <v>7</v>
      </c>
      <c r="C172" s="5" t="s">
        <v>8</v>
      </c>
      <c r="D172" s="5" t="s">
        <v>24</v>
      </c>
      <c r="E172" s="5" t="str">
        <f>_xlfn.XLOOKUP(operations[[#This Row],[Category]],categories[Category],categories[Type],"",0,1)</f>
        <v>Expense</v>
      </c>
      <c r="F172" s="7">
        <v>45617</v>
      </c>
      <c r="G172" s="5">
        <f>MONTH(operations[[#This Row],[Date]])</f>
        <v>11</v>
      </c>
    </row>
    <row r="173" spans="1:7" x14ac:dyDescent="0.25">
      <c r="A173" s="6">
        <v>-51</v>
      </c>
      <c r="B173" s="5" t="s">
        <v>7</v>
      </c>
      <c r="C173" s="5" t="s">
        <v>8</v>
      </c>
      <c r="D173" s="5" t="s">
        <v>22</v>
      </c>
      <c r="E173" s="5" t="str">
        <f>_xlfn.XLOOKUP(operations[[#This Row],[Category]],categories[Category],categories[Type],"",0,1)</f>
        <v>Expense</v>
      </c>
      <c r="F173" s="7">
        <v>45618</v>
      </c>
      <c r="G173" s="5">
        <f>MONTH(operations[[#This Row],[Date]])</f>
        <v>11</v>
      </c>
    </row>
    <row r="174" spans="1:7" x14ac:dyDescent="0.25">
      <c r="A174" s="6">
        <v>-80</v>
      </c>
      <c r="B174" s="5" t="s">
        <v>7</v>
      </c>
      <c r="C174" s="5" t="s">
        <v>8</v>
      </c>
      <c r="D174" s="5" t="s">
        <v>17</v>
      </c>
      <c r="E174" s="5" t="str">
        <f>_xlfn.XLOOKUP(operations[[#This Row],[Category]],categories[Category],categories[Type],"",0,1)</f>
        <v>Expense</v>
      </c>
      <c r="F174" s="7">
        <v>45618</v>
      </c>
      <c r="G174" s="5">
        <f>MONTH(operations[[#This Row],[Date]])</f>
        <v>11</v>
      </c>
    </row>
    <row r="175" spans="1:7" x14ac:dyDescent="0.25">
      <c r="A175" s="6">
        <v>-70</v>
      </c>
      <c r="B175" s="5" t="s">
        <v>7</v>
      </c>
      <c r="C175" s="5" t="s">
        <v>8</v>
      </c>
      <c r="D175" s="5" t="s">
        <v>21</v>
      </c>
      <c r="E175" s="5" t="str">
        <f>_xlfn.XLOOKUP(operations[[#This Row],[Category]],categories[Category],categories[Type],"",0,1)</f>
        <v>Expense</v>
      </c>
      <c r="F175" s="7">
        <v>45618</v>
      </c>
      <c r="G175" s="5">
        <f>MONTH(operations[[#This Row],[Date]])</f>
        <v>11</v>
      </c>
    </row>
    <row r="176" spans="1:7" x14ac:dyDescent="0.25">
      <c r="A176" s="6">
        <v>-35</v>
      </c>
      <c r="B176" s="5" t="s">
        <v>7</v>
      </c>
      <c r="C176" s="5" t="s">
        <v>8</v>
      </c>
      <c r="D176" s="5" t="s">
        <v>19</v>
      </c>
      <c r="E176" s="5" t="str">
        <f>_xlfn.XLOOKUP(operations[[#This Row],[Category]],categories[Category],categories[Type],"",0,1)</f>
        <v>Expense</v>
      </c>
      <c r="F176" s="7">
        <v>45619</v>
      </c>
      <c r="G176" s="5">
        <f>MONTH(operations[[#This Row],[Date]])</f>
        <v>11</v>
      </c>
    </row>
    <row r="177" spans="1:7" x14ac:dyDescent="0.25">
      <c r="A177" s="6">
        <v>-11</v>
      </c>
      <c r="B177" s="5" t="s">
        <v>7</v>
      </c>
      <c r="C177" s="5" t="s">
        <v>8</v>
      </c>
      <c r="D177" s="5" t="s">
        <v>16</v>
      </c>
      <c r="E177" s="5" t="str">
        <f>_xlfn.XLOOKUP(operations[[#This Row],[Category]],categories[Category],categories[Type],"",0,1)</f>
        <v>Expense</v>
      </c>
      <c r="F177" s="7">
        <v>45619</v>
      </c>
      <c r="G177" s="5">
        <f>MONTH(operations[[#This Row],[Date]])</f>
        <v>11</v>
      </c>
    </row>
    <row r="178" spans="1:7" x14ac:dyDescent="0.25">
      <c r="A178" s="6">
        <v>-80</v>
      </c>
      <c r="B178" s="5" t="s">
        <v>7</v>
      </c>
      <c r="C178" s="5" t="s">
        <v>8</v>
      </c>
      <c r="D178" s="5" t="s">
        <v>20</v>
      </c>
      <c r="E178" s="5" t="str">
        <f>_xlfn.XLOOKUP(operations[[#This Row],[Category]],categories[Category],categories[Type],"",0,1)</f>
        <v>Expense</v>
      </c>
      <c r="F178" s="7">
        <v>45621</v>
      </c>
      <c r="G178" s="5">
        <f>MONTH(operations[[#This Row],[Date]])</f>
        <v>11</v>
      </c>
    </row>
    <row r="179" spans="1:7" x14ac:dyDescent="0.25">
      <c r="A179" s="6">
        <v>-58</v>
      </c>
      <c r="B179" s="5" t="s">
        <v>7</v>
      </c>
      <c r="C179" s="5" t="s">
        <v>8</v>
      </c>
      <c r="D179" s="5" t="s">
        <v>17</v>
      </c>
      <c r="E179" s="5" t="str">
        <f>_xlfn.XLOOKUP(operations[[#This Row],[Category]],categories[Category],categories[Type],"",0,1)</f>
        <v>Expense</v>
      </c>
      <c r="F179" s="7">
        <v>45622</v>
      </c>
      <c r="G179" s="5">
        <f>MONTH(operations[[#This Row],[Date]])</f>
        <v>11</v>
      </c>
    </row>
    <row r="180" spans="1:7" x14ac:dyDescent="0.25">
      <c r="A180" s="6">
        <v>-52</v>
      </c>
      <c r="B180" s="5" t="s">
        <v>7</v>
      </c>
      <c r="C180" s="5" t="s">
        <v>8</v>
      </c>
      <c r="D180" s="5" t="s">
        <v>16</v>
      </c>
      <c r="E180" s="5" t="str">
        <f>_xlfn.XLOOKUP(operations[[#This Row],[Category]],categories[Category],categories[Type],"",0,1)</f>
        <v>Expense</v>
      </c>
      <c r="F180" s="7">
        <v>45623</v>
      </c>
      <c r="G180" s="5">
        <f>MONTH(operations[[#This Row],[Date]])</f>
        <v>11</v>
      </c>
    </row>
    <row r="181" spans="1:7" x14ac:dyDescent="0.25">
      <c r="A181" s="6">
        <v>-44</v>
      </c>
      <c r="B181" s="5" t="s">
        <v>7</v>
      </c>
      <c r="C181" s="5" t="s">
        <v>8</v>
      </c>
      <c r="D181" s="5" t="s">
        <v>20</v>
      </c>
      <c r="E181" s="5" t="str">
        <f>_xlfn.XLOOKUP(operations[[#This Row],[Category]],categories[Category],categories[Type],"",0,1)</f>
        <v>Expense</v>
      </c>
      <c r="F181" s="7">
        <v>45623</v>
      </c>
      <c r="G181" s="5">
        <f>MONTH(operations[[#This Row],[Date]])</f>
        <v>11</v>
      </c>
    </row>
    <row r="182" spans="1:7" x14ac:dyDescent="0.25">
      <c r="A182" s="6">
        <v>-48</v>
      </c>
      <c r="B182" s="5" t="s">
        <v>7</v>
      </c>
      <c r="C182" s="5" t="s">
        <v>8</v>
      </c>
      <c r="D182" s="5" t="s">
        <v>16</v>
      </c>
      <c r="E182" s="5" t="str">
        <f>_xlfn.XLOOKUP(operations[[#This Row],[Category]],categories[Category],categories[Type],"",0,1)</f>
        <v>Expense</v>
      </c>
      <c r="F182" s="7">
        <v>45623</v>
      </c>
      <c r="G182" s="5">
        <f>MONTH(operations[[#This Row],[Date]])</f>
        <v>11</v>
      </c>
    </row>
    <row r="183" spans="1:7" x14ac:dyDescent="0.25">
      <c r="A183" s="6">
        <v>-65</v>
      </c>
      <c r="B183" s="5" t="s">
        <v>7</v>
      </c>
      <c r="C183" s="5" t="s">
        <v>8</v>
      </c>
      <c r="D183" s="5" t="s">
        <v>24</v>
      </c>
      <c r="E183" s="5" t="str">
        <f>_xlfn.XLOOKUP(operations[[#This Row],[Category]],categories[Category],categories[Type],"",0,1)</f>
        <v>Expense</v>
      </c>
      <c r="F183" s="7">
        <v>45624</v>
      </c>
      <c r="G183" s="5">
        <f>MONTH(operations[[#This Row],[Date]])</f>
        <v>11</v>
      </c>
    </row>
    <row r="184" spans="1:7" x14ac:dyDescent="0.25">
      <c r="A184" s="6">
        <v>400</v>
      </c>
      <c r="B184" s="5" t="s">
        <v>13</v>
      </c>
      <c r="C184" s="5" t="s">
        <v>14</v>
      </c>
      <c r="D184" s="5" t="s">
        <v>29</v>
      </c>
      <c r="E184" s="5" t="str">
        <f>_xlfn.XLOOKUP(operations[[#This Row],[Category]],categories[Category],categories[Type],"",0,1)</f>
        <v>Income</v>
      </c>
      <c r="F184" s="7">
        <v>45625</v>
      </c>
      <c r="G184" s="5">
        <f>MONTH(operations[[#This Row],[Date]])</f>
        <v>11</v>
      </c>
    </row>
    <row r="185" spans="1:7" x14ac:dyDescent="0.25">
      <c r="A185" s="6">
        <v>-96</v>
      </c>
      <c r="B185" s="5" t="s">
        <v>7</v>
      </c>
      <c r="C185" s="5" t="s">
        <v>8</v>
      </c>
      <c r="D185" s="5" t="s">
        <v>17</v>
      </c>
      <c r="E185" s="5" t="str">
        <f>_xlfn.XLOOKUP(operations[[#This Row],[Category]],categories[Category],categories[Type],"",0,1)</f>
        <v>Expense</v>
      </c>
      <c r="F185" s="7">
        <v>45626</v>
      </c>
      <c r="G185" s="5">
        <f>MONTH(operations[[#This Row],[Date]])</f>
        <v>11</v>
      </c>
    </row>
    <row r="186" spans="1:7" x14ac:dyDescent="0.25">
      <c r="A186" s="6">
        <v>-50</v>
      </c>
      <c r="B186" s="5" t="s">
        <v>7</v>
      </c>
      <c r="C186" s="5" t="s">
        <v>8</v>
      </c>
      <c r="D186" s="5" t="s">
        <v>17</v>
      </c>
      <c r="E186" s="5" t="str">
        <f>_xlfn.XLOOKUP(operations[[#This Row],[Category]],categories[Category],categories[Type],"",0,1)</f>
        <v>Expense</v>
      </c>
      <c r="F186" s="7">
        <v>45627</v>
      </c>
      <c r="G186" s="5">
        <f>MONTH(operations[[#This Row],[Date]])</f>
        <v>12</v>
      </c>
    </row>
    <row r="187" spans="1:7" x14ac:dyDescent="0.25">
      <c r="A187" s="6">
        <v>-50</v>
      </c>
      <c r="B187" s="5" t="s">
        <v>7</v>
      </c>
      <c r="C187" s="5" t="s">
        <v>8</v>
      </c>
      <c r="D187" s="5" t="s">
        <v>17</v>
      </c>
      <c r="E187" s="5" t="str">
        <f>_xlfn.XLOOKUP(operations[[#This Row],[Category]],categories[Category],categories[Type],"",0,1)</f>
        <v>Expense</v>
      </c>
      <c r="F187" s="7">
        <v>45627</v>
      </c>
      <c r="G187" s="5">
        <f>MONTH(operations[[#This Row],[Date]])</f>
        <v>12</v>
      </c>
    </row>
    <row r="188" spans="1:7" x14ac:dyDescent="0.25">
      <c r="A188" s="6">
        <v>-5</v>
      </c>
      <c r="B188" s="5" t="s">
        <v>7</v>
      </c>
      <c r="C188" s="5" t="s">
        <v>8</v>
      </c>
      <c r="D188" s="5" t="s">
        <v>21</v>
      </c>
      <c r="E188" s="5" t="str">
        <f>_xlfn.XLOOKUP(operations[[#This Row],[Category]],categories[Category],categories[Type],"",0,1)</f>
        <v>Expense</v>
      </c>
      <c r="F188" s="7">
        <v>45628</v>
      </c>
      <c r="G188" s="5">
        <f>MONTH(operations[[#This Row],[Date]])</f>
        <v>12</v>
      </c>
    </row>
    <row r="189" spans="1:7" x14ac:dyDescent="0.25">
      <c r="A189" s="6">
        <v>-100</v>
      </c>
      <c r="B189" s="5" t="s">
        <v>7</v>
      </c>
      <c r="C189" s="5" t="s">
        <v>8</v>
      </c>
      <c r="D189" s="5" t="s">
        <v>24</v>
      </c>
      <c r="E189" s="5" t="str">
        <f>_xlfn.XLOOKUP(operations[[#This Row],[Category]],categories[Category],categories[Type],"",0,1)</f>
        <v>Expense</v>
      </c>
      <c r="F189" s="7">
        <v>45628</v>
      </c>
      <c r="G189" s="5">
        <f>MONTH(operations[[#This Row],[Date]])</f>
        <v>12</v>
      </c>
    </row>
    <row r="190" spans="1:7" x14ac:dyDescent="0.25">
      <c r="A190" s="6">
        <v>-60</v>
      </c>
      <c r="B190" s="5" t="s">
        <v>7</v>
      </c>
      <c r="C190" s="5" t="s">
        <v>8</v>
      </c>
      <c r="D190" s="5" t="s">
        <v>22</v>
      </c>
      <c r="E190" s="5" t="str">
        <f>_xlfn.XLOOKUP(operations[[#This Row],[Category]],categories[Category],categories[Type],"",0,1)</f>
        <v>Expense</v>
      </c>
      <c r="F190" s="7">
        <v>45628</v>
      </c>
      <c r="G190" s="5">
        <f>MONTH(operations[[#This Row],[Date]])</f>
        <v>12</v>
      </c>
    </row>
    <row r="191" spans="1:7" x14ac:dyDescent="0.25">
      <c r="A191" s="6">
        <v>-5</v>
      </c>
      <c r="B191" s="5" t="s">
        <v>7</v>
      </c>
      <c r="C191" s="5" t="s">
        <v>8</v>
      </c>
      <c r="D191" s="5" t="s">
        <v>21</v>
      </c>
      <c r="E191" s="5" t="str">
        <f>_xlfn.XLOOKUP(operations[[#This Row],[Category]],categories[Category],categories[Type],"",0,1)</f>
        <v>Expense</v>
      </c>
      <c r="F191" s="7">
        <v>45628</v>
      </c>
      <c r="G191" s="5">
        <f>MONTH(operations[[#This Row],[Date]])</f>
        <v>12</v>
      </c>
    </row>
    <row r="192" spans="1:7" x14ac:dyDescent="0.25">
      <c r="A192" s="6">
        <v>-100</v>
      </c>
      <c r="B192" s="5" t="s">
        <v>7</v>
      </c>
      <c r="C192" s="5" t="s">
        <v>8</v>
      </c>
      <c r="D192" s="5" t="s">
        <v>24</v>
      </c>
      <c r="E192" s="5" t="str">
        <f>_xlfn.XLOOKUP(operations[[#This Row],[Category]],categories[Category],categories[Type],"",0,1)</f>
        <v>Expense</v>
      </c>
      <c r="F192" s="7">
        <v>45628</v>
      </c>
      <c r="G192" s="5">
        <f>MONTH(operations[[#This Row],[Date]])</f>
        <v>12</v>
      </c>
    </row>
    <row r="193" spans="1:7" x14ac:dyDescent="0.25">
      <c r="A193" s="6">
        <v>-60</v>
      </c>
      <c r="B193" s="5" t="s">
        <v>7</v>
      </c>
      <c r="C193" s="5" t="s">
        <v>8</v>
      </c>
      <c r="D193" s="5" t="s">
        <v>22</v>
      </c>
      <c r="E193" s="5" t="str">
        <f>_xlfn.XLOOKUP(operations[[#This Row],[Category]],categories[Category],categories[Type],"",0,1)</f>
        <v>Expense</v>
      </c>
      <c r="F193" s="7">
        <v>45628</v>
      </c>
      <c r="G193" s="5">
        <f>MONTH(operations[[#This Row],[Date]])</f>
        <v>12</v>
      </c>
    </row>
    <row r="194" spans="1:7" x14ac:dyDescent="0.25">
      <c r="A194" s="6">
        <v>-150</v>
      </c>
      <c r="B194" s="5" t="s">
        <v>7</v>
      </c>
      <c r="C194" s="5" t="s">
        <v>8</v>
      </c>
      <c r="D194" s="5" t="s">
        <v>20</v>
      </c>
      <c r="E194" s="5" t="str">
        <f>_xlfn.XLOOKUP(operations[[#This Row],[Category]],categories[Category],categories[Type],"",0,1)</f>
        <v>Expense</v>
      </c>
      <c r="F194" s="7">
        <v>45629</v>
      </c>
      <c r="G194" s="5">
        <f>MONTH(operations[[#This Row],[Date]])</f>
        <v>12</v>
      </c>
    </row>
    <row r="195" spans="1:7" x14ac:dyDescent="0.25">
      <c r="A195" s="6">
        <v>-150</v>
      </c>
      <c r="B195" s="5" t="s">
        <v>7</v>
      </c>
      <c r="C195" s="5" t="s">
        <v>8</v>
      </c>
      <c r="D195" s="5" t="s">
        <v>20</v>
      </c>
      <c r="E195" s="5" t="str">
        <f>_xlfn.XLOOKUP(operations[[#This Row],[Category]],categories[Category],categories[Type],"",0,1)</f>
        <v>Expense</v>
      </c>
      <c r="F195" s="7">
        <v>45629</v>
      </c>
      <c r="G195" s="5">
        <f>MONTH(operations[[#This Row],[Date]])</f>
        <v>12</v>
      </c>
    </row>
    <row r="196" spans="1:7" x14ac:dyDescent="0.25">
      <c r="A196" s="6">
        <v>-100</v>
      </c>
      <c r="B196" s="5" t="s">
        <v>7</v>
      </c>
      <c r="C196" s="5" t="s">
        <v>8</v>
      </c>
      <c r="D196" s="5" t="s">
        <v>17</v>
      </c>
      <c r="E196" s="5" t="str">
        <f>_xlfn.XLOOKUP(operations[[#This Row],[Category]],categories[Category],categories[Type],"",0,1)</f>
        <v>Expense</v>
      </c>
      <c r="F196" s="7">
        <v>45632</v>
      </c>
      <c r="G196" s="5">
        <f>MONTH(operations[[#This Row],[Date]])</f>
        <v>12</v>
      </c>
    </row>
    <row r="197" spans="1:7" x14ac:dyDescent="0.25">
      <c r="A197" s="6">
        <v>-100</v>
      </c>
      <c r="B197" s="5" t="s">
        <v>7</v>
      </c>
      <c r="C197" s="5" t="s">
        <v>8</v>
      </c>
      <c r="D197" s="5" t="s">
        <v>17</v>
      </c>
      <c r="E197" s="5" t="str">
        <f>_xlfn.XLOOKUP(operations[[#This Row],[Category]],categories[Category],categories[Type],"",0,1)</f>
        <v>Expense</v>
      </c>
      <c r="F197" s="7">
        <v>45632</v>
      </c>
      <c r="G197" s="5">
        <f>MONTH(operations[[#This Row],[Date]])</f>
        <v>12</v>
      </c>
    </row>
    <row r="198" spans="1:7" x14ac:dyDescent="0.25">
      <c r="A198" s="6">
        <v>4500</v>
      </c>
      <c r="B198" s="5" t="s">
        <v>7</v>
      </c>
      <c r="C198" s="5" t="s">
        <v>8</v>
      </c>
      <c r="D198" s="5" t="s">
        <v>26</v>
      </c>
      <c r="E198" s="5" t="str">
        <f>_xlfn.XLOOKUP(operations[[#This Row],[Category]],categories[Category],categories[Type],"",0,1)</f>
        <v>Income</v>
      </c>
      <c r="F198" s="7">
        <v>45636</v>
      </c>
      <c r="G198" s="5">
        <f>MONTH(operations[[#This Row],[Date]])</f>
        <v>12</v>
      </c>
    </row>
    <row r="199" spans="1:7" x14ac:dyDescent="0.25">
      <c r="A199" s="6">
        <v>-2000</v>
      </c>
      <c r="B199" s="5" t="s">
        <v>7</v>
      </c>
      <c r="C199" s="5" t="s">
        <v>8</v>
      </c>
      <c r="D199" s="5" t="s">
        <v>18</v>
      </c>
      <c r="E199" s="5" t="str">
        <f>_xlfn.XLOOKUP(operations[[#This Row],[Category]],categories[Category],categories[Type],"",0,1)</f>
        <v>Expense</v>
      </c>
      <c r="F199" s="7">
        <v>45637</v>
      </c>
      <c r="G199" s="5">
        <f>MONTH(operations[[#This Row],[Date]])</f>
        <v>12</v>
      </c>
    </row>
    <row r="200" spans="1:7" x14ac:dyDescent="0.25">
      <c r="A200" s="6">
        <v>-50</v>
      </c>
      <c r="B200" s="5" t="s">
        <v>7</v>
      </c>
      <c r="C200" s="5" t="s">
        <v>8</v>
      </c>
      <c r="D200" s="5" t="s">
        <v>20</v>
      </c>
      <c r="E200" s="5" t="str">
        <f>_xlfn.XLOOKUP(operations[[#This Row],[Category]],categories[Category],categories[Type],"",0,1)</f>
        <v>Expense</v>
      </c>
      <c r="F200" s="7">
        <v>45640</v>
      </c>
      <c r="G200" s="5">
        <f>MONTH(operations[[#This Row],[Date]])</f>
        <v>12</v>
      </c>
    </row>
    <row r="201" spans="1:7" x14ac:dyDescent="0.25">
      <c r="A201" s="6">
        <v>-100</v>
      </c>
      <c r="B201" s="5" t="s">
        <v>7</v>
      </c>
      <c r="C201" s="5" t="s">
        <v>8</v>
      </c>
      <c r="D201" s="5" t="s">
        <v>23</v>
      </c>
      <c r="E201" s="5" t="str">
        <f>_xlfn.XLOOKUP(operations[[#This Row],[Category]],categories[Category],categories[Type],"",0,1)</f>
        <v>Expense</v>
      </c>
      <c r="F201" s="7">
        <v>45641</v>
      </c>
      <c r="G201" s="5">
        <f>MONTH(operations[[#This Row],[Date]])</f>
        <v>12</v>
      </c>
    </row>
    <row r="202" spans="1:7" x14ac:dyDescent="0.25">
      <c r="A202" s="6">
        <v>-100</v>
      </c>
      <c r="B202" s="5" t="s">
        <v>7</v>
      </c>
      <c r="C202" s="5" t="s">
        <v>8</v>
      </c>
      <c r="D202" s="5" t="s">
        <v>17</v>
      </c>
      <c r="E202" s="5" t="str">
        <f>_xlfn.XLOOKUP(operations[[#This Row],[Category]],categories[Category],categories[Type],"",0,1)</f>
        <v>Expense</v>
      </c>
      <c r="F202" s="7">
        <v>45644</v>
      </c>
      <c r="G202" s="5">
        <f>MONTH(operations[[#This Row],[Date]])</f>
        <v>12</v>
      </c>
    </row>
    <row r="203" spans="1:7" x14ac:dyDescent="0.25">
      <c r="A203" s="6">
        <v>500</v>
      </c>
      <c r="B203" s="5" t="s">
        <v>13</v>
      </c>
      <c r="C203" s="5" t="s">
        <v>14</v>
      </c>
      <c r="D203" s="5" t="s">
        <v>29</v>
      </c>
      <c r="E203" s="5" t="str">
        <f>_xlfn.XLOOKUP(operations[[#This Row],[Category]],categories[Category],categories[Type],"",0,1)</f>
        <v>Income</v>
      </c>
      <c r="F203" s="7">
        <v>45648</v>
      </c>
      <c r="G203" s="5">
        <f>MONTH(operations[[#This Row],[Date]])</f>
        <v>12</v>
      </c>
    </row>
    <row r="204" spans="1:7" x14ac:dyDescent="0.25">
      <c r="A204" s="6">
        <v>-100</v>
      </c>
      <c r="B204" s="5" t="s">
        <v>13</v>
      </c>
      <c r="C204" s="5" t="s">
        <v>14</v>
      </c>
      <c r="D204" s="5" t="s">
        <v>20</v>
      </c>
      <c r="E204" s="5" t="str">
        <f>_xlfn.XLOOKUP(operations[[#This Row],[Category]],categories[Category],categories[Type],"",0,1)</f>
        <v>Expense</v>
      </c>
      <c r="F204" s="7">
        <v>45649</v>
      </c>
      <c r="G204" s="5">
        <f>MONTH(operations[[#This Row],[Date]])</f>
        <v>12</v>
      </c>
    </row>
    <row r="205" spans="1:7" x14ac:dyDescent="0.25">
      <c r="A205" s="6">
        <v>1500</v>
      </c>
      <c r="B205" s="5" t="s">
        <v>13</v>
      </c>
      <c r="C205" s="5" t="s">
        <v>14</v>
      </c>
      <c r="D205" s="5" t="s">
        <v>29</v>
      </c>
      <c r="E205" s="5" t="str">
        <f>_xlfn.XLOOKUP(operations[[#This Row],[Category]],categories[Category],categories[Type],"",0,1)</f>
        <v>Income</v>
      </c>
      <c r="F205" s="7">
        <v>45650</v>
      </c>
      <c r="G205" s="5">
        <f>MONTH(operations[[#This Row],[Date]])</f>
        <v>12</v>
      </c>
    </row>
    <row r="206" spans="1:7" x14ac:dyDescent="0.25">
      <c r="A206" s="6">
        <v>-500</v>
      </c>
      <c r="B206" s="5" t="s">
        <v>13</v>
      </c>
      <c r="C206" s="5" t="s">
        <v>14</v>
      </c>
      <c r="D206" s="5" t="s">
        <v>24</v>
      </c>
      <c r="E206" s="5" t="str">
        <f>_xlfn.XLOOKUP(operations[[#This Row],[Category]],categories[Category],categories[Type],"",0,1)</f>
        <v>Expense</v>
      </c>
      <c r="F206" s="7">
        <v>45654</v>
      </c>
      <c r="G206" s="5">
        <f>MONTH(operations[[#This Row],[Date]])</f>
        <v>12</v>
      </c>
    </row>
    <row r="207" spans="1:7" x14ac:dyDescent="0.25">
      <c r="A207" s="6">
        <v>-300</v>
      </c>
      <c r="B207" s="5" t="s">
        <v>13</v>
      </c>
      <c r="C207" s="5" t="s">
        <v>14</v>
      </c>
      <c r="D207" s="5" t="s">
        <v>17</v>
      </c>
      <c r="E207" s="5" t="str">
        <f>_xlfn.XLOOKUP(operations[[#This Row],[Category]],categories[Category],categories[Type],"",0,1)</f>
        <v>Expense</v>
      </c>
      <c r="F207" s="7">
        <v>45656</v>
      </c>
      <c r="G207" s="5">
        <f>MONTH(operations[[#This Row],[Date]])</f>
        <v>12</v>
      </c>
    </row>
  </sheetData>
  <dataValidations count="1">
    <dataValidation type="list" allowBlank="1" showInputMessage="1" showErrorMessage="1" sqref="D2:D207" xr:uid="{CF4BAAE4-4D09-482C-9328-1C1DB7ECE0AF}">
      <formula1>$D$2:$D$207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6ACB93-B32F-4794-AB9A-E657CEA98AF4}">
          <x14:formula1>
            <xm:f>dictionary!$H$1:$J$1</xm:f>
          </x14:formula1>
          <xm:sqref>B2:B207</xm:sqref>
        </x14:dataValidation>
        <x14:dataValidation type="list" allowBlank="1" showInputMessage="1" showErrorMessage="1" xr:uid="{206F003B-2496-4AE0-9986-AB5A1FCC7A49}">
          <x14:formula1>
            <xm:f>CHOOSE(MATCH(B2,dictionary!$H$1:$J$1,0),_xlfn._TRO_TRAILING(dictionary!$H$2:$H$8),_xlfn._TRO_TRAILING(dictionary!$I$2:$I$8),_xlfn._TRO_TRAILING(dictionary!$J$2:$J$8))</xm:f>
          </x14:formula1>
          <xm:sqref>C2:C207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C7F63-F663-445C-940E-090024726634}">
  <dimension ref="A1:N18"/>
  <sheetViews>
    <sheetView workbookViewId="0">
      <selection activeCell="C5" sqref="C5"/>
    </sheetView>
  </sheetViews>
  <sheetFormatPr defaultRowHeight="15" x14ac:dyDescent="0.25"/>
  <cols>
    <col min="1" max="1" width="16.5703125" customWidth="1"/>
    <col min="3" max="14" width="11.42578125" bestFit="1" customWidth="1"/>
  </cols>
  <sheetData>
    <row r="1" spans="1:14" x14ac:dyDescent="0.25">
      <c r="A1" t="s">
        <v>3</v>
      </c>
      <c r="B1" t="s">
        <v>4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</row>
    <row r="2" spans="1:14" x14ac:dyDescent="0.25">
      <c r="A2" t="s">
        <v>18</v>
      </c>
      <c r="B2" t="s">
        <v>32</v>
      </c>
      <c r="C2" s="4" cm="1">
        <f t="array" ref="C2">SUMIFS(operations[[Amount]:[Amount]],operations[[Category]:[Category]],summary1[[#This Row],[Category]:[Category]],operations[[Month]:[Month]],summary1[[#Headers],[1]])</f>
        <v>-2000</v>
      </c>
      <c r="D2" s="4" cm="1">
        <f t="array" ref="D2">SUMIFS(operations[[Amount]:[Amount]],operations[[Category]:[Category]],summary1[[#This Row],[Category]:[Category]],operations[[Month]:[Month]],summary1[[#Headers],[2]])</f>
        <v>-2000</v>
      </c>
      <c r="E2" s="4" cm="1">
        <f t="array" ref="E2">SUMIFS(operations[[Amount]:[Amount]],operations[[Category]:[Category]],summary1[[#This Row],[Category]:[Category]],operations[[Month]:[Month]],summary1[[#Headers],[3]])</f>
        <v>-2000</v>
      </c>
      <c r="F2" s="4" cm="1">
        <f t="array" ref="F2">SUMIFS(operations[[Amount]:[Amount]],operations[[Category]:[Category]],summary1[[#This Row],[Category]:[Category]],operations[[Month]:[Month]],summary1[[#Headers],[4]])</f>
        <v>-2000</v>
      </c>
      <c r="G2" s="4" cm="1">
        <f t="array" ref="G2">SUMIFS(operations[[Amount]:[Amount]],operations[[Category]:[Category]],summary1[[#This Row],[Category]:[Category]],operations[[Month]:[Month]],summary1[[#Headers],[5]])</f>
        <v>-2000</v>
      </c>
      <c r="H2" s="4" cm="1">
        <f t="array" ref="H2">SUMIFS(operations[[Amount]:[Amount]],operations[[Category]:[Category]],summary1[[#This Row],[Category]:[Category]],operations[[Month]:[Month]],summary1[[#Headers],[6]])</f>
        <v>-2000</v>
      </c>
      <c r="I2" s="4" cm="1">
        <f t="array" ref="I2">SUMIFS(operations[[Amount]:[Amount]],operations[[Category]:[Category]],summary1[[#This Row],[Category]:[Category]],operations[[Month]:[Month]],summary1[[#Headers],[7]])</f>
        <v>-2000</v>
      </c>
      <c r="J2" s="4" cm="1">
        <f t="array" ref="J2">SUMIFS(operations[[Amount]:[Amount]],operations[[Category]:[Category]],summary1[[#This Row],[Category]:[Category]],operations[[Month]:[Month]],summary1[[#Headers],[8]])</f>
        <v>-2000</v>
      </c>
      <c r="K2" s="4" cm="1">
        <f t="array" ref="K2">SUMIFS(operations[[Amount]:[Amount]],operations[[Category]:[Category]],summary1[[#This Row],[Category]:[Category]],operations[[Month]:[Month]],summary1[[#Headers],[9]])</f>
        <v>-2000</v>
      </c>
      <c r="L2" s="4" cm="1">
        <f t="array" ref="L2">SUMIFS(operations[[Amount]:[Amount]],operations[[Category]:[Category]],summary1[[#This Row],[Category]:[Category]],operations[[Month]:[Month]],summary1[[#Headers],[10]])</f>
        <v>-2000</v>
      </c>
      <c r="M2" s="4" cm="1">
        <f t="array" ref="M2">SUMIFS(operations[[Amount]:[Amount]],operations[[Category]:[Category]],summary1[[#This Row],[Category]:[Category]],operations[[Month]:[Month]],summary1[[#Headers],[11]])</f>
        <v>-2000</v>
      </c>
      <c r="N2" s="4" cm="1">
        <f t="array" ref="N2">SUMIFS(operations[[Amount]:[Amount]],operations[[Category]:[Category]],summary1[[#This Row],[Category]:[Category]],operations[[Month]:[Month]],summary1[[#Headers],[12]])</f>
        <v>-2000</v>
      </c>
    </row>
    <row r="3" spans="1:14" x14ac:dyDescent="0.25">
      <c r="A3" t="s">
        <v>22</v>
      </c>
      <c r="B3" t="s">
        <v>32</v>
      </c>
      <c r="C3" s="4" cm="1">
        <f t="array" ref="C3">SUMIFS(operations[[Amount]:[Amount]],operations[[Category]:[Category]],summary1[[#This Row],[Category]:[Category]],operations[[Month]:[Month]],summary1[[#Headers],[1]])</f>
        <v>-80</v>
      </c>
      <c r="D3" s="4" cm="1">
        <f t="array" ref="D3">SUMIFS(operations[[Amount]:[Amount]],operations[[Category]:[Category]],summary1[[#This Row],[Category]:[Category]],operations[[Month]:[Month]],summary1[[#Headers],[2]])</f>
        <v>0</v>
      </c>
      <c r="E3" s="4" cm="1">
        <f t="array" ref="E3">SUMIFS(operations[[Amount]:[Amount]],operations[[Category]:[Category]],summary1[[#This Row],[Category]:[Category]],operations[[Month]:[Month]],summary1[[#Headers],[3]])</f>
        <v>-469.9</v>
      </c>
      <c r="F3" s="4" cm="1">
        <f t="array" ref="F3">SUMIFS(operations[[Amount]:[Amount]],operations[[Category]:[Category]],summary1[[#This Row],[Category]:[Category]],operations[[Month]:[Month]],summary1[[#Headers],[4]])</f>
        <v>-149</v>
      </c>
      <c r="G3" s="4" cm="1">
        <f t="array" ref="G3">SUMIFS(operations[[Amount]:[Amount]],operations[[Category]:[Category]],summary1[[#This Row],[Category]:[Category]],operations[[Month]:[Month]],summary1[[#Headers],[5]])</f>
        <v>0</v>
      </c>
      <c r="H3" s="4" cm="1">
        <f t="array" ref="H3">SUMIFS(operations[[Amount]:[Amount]],operations[[Category]:[Category]],summary1[[#This Row],[Category]:[Category]],operations[[Month]:[Month]],summary1[[#Headers],[6]])</f>
        <v>-300</v>
      </c>
      <c r="I3" s="4" cm="1">
        <f t="array" ref="I3">SUMIFS(operations[[Amount]:[Amount]],operations[[Category]:[Category]],summary1[[#This Row],[Category]:[Category]],operations[[Month]:[Month]],summary1[[#Headers],[7]])</f>
        <v>250</v>
      </c>
      <c r="J3" s="4" cm="1">
        <f t="array" ref="J3">SUMIFS(operations[[Amount]:[Amount]],operations[[Category]:[Category]],summary1[[#This Row],[Category]:[Category]],operations[[Month]:[Month]],summary1[[#Headers],[8]])</f>
        <v>-300</v>
      </c>
      <c r="K3" s="4" cm="1">
        <f t="array" ref="K3">SUMIFS(operations[[Amount]:[Amount]],operations[[Category]:[Category]],summary1[[#This Row],[Category]:[Category]],operations[[Month]:[Month]],summary1[[#Headers],[9]])</f>
        <v>0</v>
      </c>
      <c r="L3" s="4" cm="1">
        <f t="array" ref="L3">SUMIFS(operations[[Amount]:[Amount]],operations[[Category]:[Category]],summary1[[#This Row],[Category]:[Category]],operations[[Month]:[Month]],summary1[[#Headers],[10]])</f>
        <v>0</v>
      </c>
      <c r="M3" s="4" cm="1">
        <f t="array" ref="M3">SUMIFS(operations[[Amount]:[Amount]],operations[[Category]:[Category]],summary1[[#This Row],[Category]:[Category]],operations[[Month]:[Month]],summary1[[#Headers],[11]])</f>
        <v>-158</v>
      </c>
      <c r="N3" s="4" cm="1">
        <f t="array" ref="N3">SUMIFS(operations[[Amount]:[Amount]],operations[[Category]:[Category]],summary1[[#This Row],[Category]:[Category]],operations[[Month]:[Month]],summary1[[#Headers],[12]])</f>
        <v>-120</v>
      </c>
    </row>
    <row r="4" spans="1:14" x14ac:dyDescent="0.25">
      <c r="A4" t="s">
        <v>20</v>
      </c>
      <c r="B4" t="s">
        <v>32</v>
      </c>
      <c r="C4" s="4" cm="1">
        <f t="array" ref="C4">SUMIFS(operations[[Amount]:[Amount]],operations[[Category]:[Category]],summary1[[#This Row],[Category]:[Category]],operations[[Month]:[Month]],summary1[[#Headers],[1]])</f>
        <v>-85</v>
      </c>
      <c r="D4" s="4" cm="1">
        <f t="array" ref="D4">SUMIFS(operations[[Amount]:[Amount]],operations[[Category]:[Category]],summary1[[#This Row],[Category]:[Category]],operations[[Month]:[Month]],summary1[[#Headers],[2]])</f>
        <v>-350</v>
      </c>
      <c r="E4" s="4" cm="1">
        <f t="array" ref="E4">SUMIFS(operations[[Amount]:[Amount]],operations[[Category]:[Category]],summary1[[#This Row],[Category]:[Category]],operations[[Month]:[Month]],summary1[[#Headers],[3]])</f>
        <v>-200</v>
      </c>
      <c r="F4" s="4" cm="1">
        <f t="array" ref="F4">SUMIFS(operations[[Amount]:[Amount]],operations[[Category]:[Category]],summary1[[#This Row],[Category]:[Category]],operations[[Month]:[Month]],summary1[[#Headers],[4]])</f>
        <v>-1057.9000000000001</v>
      </c>
      <c r="G4" s="4" cm="1">
        <f t="array" ref="G4">SUMIFS(operations[[Amount]:[Amount]],operations[[Category]:[Category]],summary1[[#This Row],[Category]:[Category]],operations[[Month]:[Month]],summary1[[#Headers],[5]])</f>
        <v>-80</v>
      </c>
      <c r="H4" s="4" cm="1">
        <f t="array" ref="H4">SUMIFS(operations[[Amount]:[Amount]],operations[[Category]:[Category]],summary1[[#This Row],[Category]:[Category]],operations[[Month]:[Month]],summary1[[#Headers],[6]])</f>
        <v>-200</v>
      </c>
      <c r="I4" s="4" cm="1">
        <f t="array" ref="I4">SUMIFS(operations[[Amount]:[Amount]],operations[[Category]:[Category]],summary1[[#This Row],[Category]:[Category]],operations[[Month]:[Month]],summary1[[#Headers],[7]])</f>
        <v>-700</v>
      </c>
      <c r="J4" s="4" cm="1">
        <f t="array" ref="J4">SUMIFS(operations[[Amount]:[Amount]],operations[[Category]:[Category]],summary1[[#This Row],[Category]:[Category]],operations[[Month]:[Month]],summary1[[#Headers],[8]])</f>
        <v>-250</v>
      </c>
      <c r="K4" s="4" cm="1">
        <f t="array" ref="K4">SUMIFS(operations[[Amount]:[Amount]],operations[[Category]:[Category]],summary1[[#This Row],[Category]:[Category]],operations[[Month]:[Month]],summary1[[#Headers],[9]])</f>
        <v>-20</v>
      </c>
      <c r="L4" s="4" cm="1">
        <f t="array" ref="L4">SUMIFS(operations[[Amount]:[Amount]],operations[[Category]:[Category]],summary1[[#This Row],[Category]:[Category]],operations[[Month]:[Month]],summary1[[#Headers],[10]])</f>
        <v>-40</v>
      </c>
      <c r="M4" s="4" cm="1">
        <f t="array" ref="M4">SUMIFS(operations[[Amount]:[Amount]],operations[[Category]:[Category]],summary1[[#This Row],[Category]:[Category]],operations[[Month]:[Month]],summary1[[#Headers],[11]])</f>
        <v>-214</v>
      </c>
      <c r="N4" s="4" cm="1">
        <f t="array" ref="N4">SUMIFS(operations[[Amount]:[Amount]],operations[[Category]:[Category]],summary1[[#This Row],[Category]:[Category]],operations[[Month]:[Month]],summary1[[#Headers],[12]])</f>
        <v>-450</v>
      </c>
    </row>
    <row r="5" spans="1:14" x14ac:dyDescent="0.25">
      <c r="A5" t="s">
        <v>17</v>
      </c>
      <c r="B5" t="s">
        <v>32</v>
      </c>
      <c r="C5" s="4" cm="1">
        <f t="array" ref="C5">SUMIFS(operations[[Amount]:[Amount]],operations[[Category]:[Category]],summary1[[#This Row],[Category]:[Category]],operations[[Month]:[Month]],summary1[[#Headers],[1]])</f>
        <v>-1715</v>
      </c>
      <c r="D5" s="4" cm="1">
        <f t="array" ref="D5">SUMIFS(operations[[Amount]:[Amount]],operations[[Category]:[Category]],summary1[[#This Row],[Category]:[Category]],operations[[Month]:[Month]],summary1[[#Headers],[2]])</f>
        <v>-405.5</v>
      </c>
      <c r="E5" s="4" cm="1">
        <f t="array" ref="E5">SUMIFS(operations[[Amount]:[Amount]],operations[[Category]:[Category]],summary1[[#This Row],[Category]:[Category]],operations[[Month]:[Month]],summary1[[#Headers],[3]])</f>
        <v>-734.99</v>
      </c>
      <c r="F5" s="4" cm="1">
        <f t="array" ref="F5">SUMIFS(operations[[Amount]:[Amount]],operations[[Category]:[Category]],summary1[[#This Row],[Category]:[Category]],operations[[Month]:[Month]],summary1[[#Headers],[4]])</f>
        <v>-372.26</v>
      </c>
      <c r="G5" s="4" cm="1">
        <f t="array" ref="G5">SUMIFS(operations[[Amount]:[Amount]],operations[[Category]:[Category]],summary1[[#This Row],[Category]:[Category]],operations[[Month]:[Month]],summary1[[#Headers],[5]])</f>
        <v>-1000</v>
      </c>
      <c r="H5" s="4" cm="1">
        <f t="array" ref="H5">SUMIFS(operations[[Amount]:[Amount]],operations[[Category]:[Category]],summary1[[#This Row],[Category]:[Category]],operations[[Month]:[Month]],summary1[[#Headers],[6]])</f>
        <v>-1000</v>
      </c>
      <c r="I5" s="4" cm="1">
        <f t="array" ref="I5">SUMIFS(operations[[Amount]:[Amount]],operations[[Category]:[Category]],summary1[[#This Row],[Category]:[Category]],operations[[Month]:[Month]],summary1[[#Headers],[7]])</f>
        <v>-165</v>
      </c>
      <c r="J5" s="4" cm="1">
        <f t="array" ref="J5">SUMIFS(operations[[Amount]:[Amount]],operations[[Category]:[Category]],summary1[[#This Row],[Category]:[Category]],operations[[Month]:[Month]],summary1[[#Headers],[8]])</f>
        <v>-749.5</v>
      </c>
      <c r="K5" s="4" cm="1">
        <f t="array" ref="K5">SUMIFS(operations[[Amount]:[Amount]],operations[[Category]:[Category]],summary1[[#This Row],[Category]:[Category]],operations[[Month]:[Month]],summary1[[#Headers],[9]])</f>
        <v>-538.5</v>
      </c>
      <c r="L5" s="4" cm="1">
        <f t="array" ref="L5">SUMIFS(operations[[Amount]:[Amount]],operations[[Category]:[Category]],summary1[[#This Row],[Category]:[Category]],operations[[Month]:[Month]],summary1[[#Headers],[10]])</f>
        <v>-600</v>
      </c>
      <c r="M5" s="4" cm="1">
        <f t="array" ref="M5">SUMIFS(operations[[Amount]:[Amount]],operations[[Category]:[Category]],summary1[[#This Row],[Category]:[Category]],operations[[Month]:[Month]],summary1[[#Headers],[11]])</f>
        <v>-506</v>
      </c>
      <c r="N5" s="4" cm="1">
        <f t="array" ref="N5">SUMIFS(operations[[Amount]:[Amount]],operations[[Category]:[Category]],summary1[[#This Row],[Category]:[Category]],operations[[Month]:[Month]],summary1[[#Headers],[12]])</f>
        <v>-700</v>
      </c>
    </row>
    <row r="6" spans="1:14" x14ac:dyDescent="0.25">
      <c r="A6" t="s">
        <v>21</v>
      </c>
      <c r="B6" t="s">
        <v>32</v>
      </c>
      <c r="C6" s="4" cm="1">
        <f t="array" ref="C6">SUMIFS(operations[[Amount]:[Amount]],operations[[Category]:[Category]],summary1[[#This Row],[Category]:[Category]],operations[[Month]:[Month]],summary1[[#Headers],[1]])</f>
        <v>-100</v>
      </c>
      <c r="D6" s="4" cm="1">
        <f t="array" ref="D6">SUMIFS(operations[[Amount]:[Amount]],operations[[Category]:[Category]],summary1[[#This Row],[Category]:[Category]],operations[[Month]:[Month]],summary1[[#Headers],[2]])</f>
        <v>-250</v>
      </c>
      <c r="E6" s="4" cm="1">
        <f t="array" ref="E6">SUMIFS(operations[[Amount]:[Amount]],operations[[Category]:[Category]],summary1[[#This Row],[Category]:[Category]],operations[[Month]:[Month]],summary1[[#Headers],[3]])</f>
        <v>-9.5</v>
      </c>
      <c r="F6" s="4" cm="1">
        <f t="array" ref="F6">SUMIFS(operations[[Amount]:[Amount]],operations[[Category]:[Category]],summary1[[#This Row],[Category]:[Category]],operations[[Month]:[Month]],summary1[[#Headers],[4]])</f>
        <v>-23.5</v>
      </c>
      <c r="G6" s="4" cm="1">
        <f t="array" ref="G6">SUMIFS(operations[[Amount]:[Amount]],operations[[Category]:[Category]],summary1[[#This Row],[Category]:[Category]],operations[[Month]:[Month]],summary1[[#Headers],[5]])</f>
        <v>0</v>
      </c>
      <c r="H6" s="4" cm="1">
        <f t="array" ref="H6">SUMIFS(operations[[Amount]:[Amount]],operations[[Category]:[Category]],summary1[[#This Row],[Category]:[Category]],operations[[Month]:[Month]],summary1[[#Headers],[6]])</f>
        <v>-100</v>
      </c>
      <c r="I6" s="4" cm="1">
        <f t="array" ref="I6">SUMIFS(operations[[Amount]:[Amount]],operations[[Category]:[Category]],summary1[[#This Row],[Category]:[Category]],operations[[Month]:[Month]],summary1[[#Headers],[7]])</f>
        <v>-300</v>
      </c>
      <c r="J6" s="4" cm="1">
        <f t="array" ref="J6">SUMIFS(operations[[Amount]:[Amount]],operations[[Category]:[Category]],summary1[[#This Row],[Category]:[Category]],operations[[Month]:[Month]],summary1[[#Headers],[8]])</f>
        <v>-400</v>
      </c>
      <c r="K6" s="4" cm="1">
        <f t="array" ref="K6">SUMIFS(operations[[Amount]:[Amount]],operations[[Category]:[Category]],summary1[[#This Row],[Category]:[Category]],operations[[Month]:[Month]],summary1[[#Headers],[9]])</f>
        <v>0</v>
      </c>
      <c r="L6" s="4" cm="1">
        <f t="array" ref="L6">SUMIFS(operations[[Amount]:[Amount]],operations[[Category]:[Category]],summary1[[#This Row],[Category]:[Category]],operations[[Month]:[Month]],summary1[[#Headers],[10]])</f>
        <v>0</v>
      </c>
      <c r="M6" s="4" cm="1">
        <f t="array" ref="M6">SUMIFS(operations[[Amount]:[Amount]],operations[[Category]:[Category]],summary1[[#This Row],[Category]:[Category]],operations[[Month]:[Month]],summary1[[#Headers],[11]])</f>
        <v>-133</v>
      </c>
      <c r="N6" s="4" cm="1">
        <f t="array" ref="N6">SUMIFS(operations[[Amount]:[Amount]],operations[[Category]:[Category]],summary1[[#This Row],[Category]:[Category]],operations[[Month]:[Month]],summary1[[#Headers],[12]])</f>
        <v>-10</v>
      </c>
    </row>
    <row r="7" spans="1:14" x14ac:dyDescent="0.25">
      <c r="A7" t="s">
        <v>19</v>
      </c>
      <c r="B7" t="s">
        <v>32</v>
      </c>
      <c r="C7" s="4" cm="1">
        <f t="array" ref="C7">SUMIFS(operations[[Amount]:[Amount]],operations[[Category]:[Category]],summary1[[#This Row],[Category]:[Category]],operations[[Month]:[Month]],summary1[[#Headers],[1]])</f>
        <v>-150</v>
      </c>
      <c r="D7" s="4" cm="1">
        <f t="array" ref="D7">SUMIFS(operations[[Amount]:[Amount]],operations[[Category]:[Category]],summary1[[#This Row],[Category]:[Category]],operations[[Month]:[Month]],summary1[[#Headers],[2]])</f>
        <v>-150</v>
      </c>
      <c r="E7" s="4" cm="1">
        <f t="array" ref="E7">SUMIFS(operations[[Amount]:[Amount]],operations[[Category]:[Category]],summary1[[#This Row],[Category]:[Category]],operations[[Month]:[Month]],summary1[[#Headers],[3]])</f>
        <v>-23</v>
      </c>
      <c r="F7" s="4" cm="1">
        <f t="array" ref="F7">SUMIFS(operations[[Amount]:[Amount]],operations[[Category]:[Category]],summary1[[#This Row],[Category]:[Category]],operations[[Month]:[Month]],summary1[[#Headers],[4]])</f>
        <v>-49</v>
      </c>
      <c r="G7" s="4" cm="1">
        <f t="array" ref="G7">SUMIFS(operations[[Amount]:[Amount]],operations[[Category]:[Category]],summary1[[#This Row],[Category]:[Category]],operations[[Month]:[Month]],summary1[[#Headers],[5]])</f>
        <v>-50</v>
      </c>
      <c r="H7" s="4" cm="1">
        <f t="array" ref="H7">SUMIFS(operations[[Amount]:[Amount]],operations[[Category]:[Category]],summary1[[#This Row],[Category]:[Category]],operations[[Month]:[Month]],summary1[[#Headers],[6]])</f>
        <v>-50</v>
      </c>
      <c r="I7" s="4" cm="1">
        <f t="array" ref="I7">SUMIFS(operations[[Amount]:[Amount]],operations[[Category]:[Category]],summary1[[#This Row],[Category]:[Category]],operations[[Month]:[Month]],summary1[[#Headers],[7]])</f>
        <v>0</v>
      </c>
      <c r="J7" s="4" cm="1">
        <f t="array" ref="J7">SUMIFS(operations[[Amount]:[Amount]],operations[[Category]:[Category]],summary1[[#This Row],[Category]:[Category]],operations[[Month]:[Month]],summary1[[#Headers],[8]])</f>
        <v>0</v>
      </c>
      <c r="K7" s="4" cm="1">
        <f t="array" ref="K7">SUMIFS(operations[[Amount]:[Amount]],operations[[Category]:[Category]],summary1[[#This Row],[Category]:[Category]],operations[[Month]:[Month]],summary1[[#Headers],[9]])</f>
        <v>-40</v>
      </c>
      <c r="L7" s="4" cm="1">
        <f t="array" ref="L7">SUMIFS(operations[[Amount]:[Amount]],operations[[Category]:[Category]],summary1[[#This Row],[Category]:[Category]],operations[[Month]:[Month]],summary1[[#Headers],[10]])</f>
        <v>-40</v>
      </c>
      <c r="M7" s="4" cm="1">
        <f t="array" ref="M7">SUMIFS(operations[[Amount]:[Amount]],operations[[Category]:[Category]],summary1[[#This Row],[Category]:[Category]],operations[[Month]:[Month]],summary1[[#Headers],[11]])</f>
        <v>-47</v>
      </c>
      <c r="N7" s="4" cm="1">
        <f t="array" ref="N7">SUMIFS(operations[[Amount]:[Amount]],operations[[Category]:[Category]],summary1[[#This Row],[Category]:[Category]],operations[[Month]:[Month]],summary1[[#Headers],[12]])</f>
        <v>0</v>
      </c>
    </row>
    <row r="8" spans="1:14" x14ac:dyDescent="0.25">
      <c r="A8" t="s">
        <v>24</v>
      </c>
      <c r="B8" t="s">
        <v>32</v>
      </c>
      <c r="C8" s="4" cm="1">
        <f t="array" ref="C8">SUMIFS(operations[[Amount]:[Amount]],operations[[Category]:[Category]],summary1[[#This Row],[Category]:[Category]],operations[[Month]:[Month]],summary1[[#Headers],[1]])</f>
        <v>-500</v>
      </c>
      <c r="D8" s="4" cm="1">
        <f t="array" ref="D8">SUMIFS(operations[[Amount]:[Amount]],operations[[Category]:[Category]],summary1[[#This Row],[Category]:[Category]],operations[[Month]:[Month]],summary1[[#Headers],[2]])</f>
        <v>-765</v>
      </c>
      <c r="E8" s="4" cm="1">
        <f t="array" ref="E8">SUMIFS(operations[[Amount]:[Amount]],operations[[Category]:[Category]],summary1[[#This Row],[Category]:[Category]],operations[[Month]:[Month]],summary1[[#Headers],[3]])</f>
        <v>-300</v>
      </c>
      <c r="F8" s="4" cm="1">
        <f t="array" ref="F8">SUMIFS(operations[[Amount]:[Amount]],operations[[Category]:[Category]],summary1[[#This Row],[Category]:[Category]],operations[[Month]:[Month]],summary1[[#Headers],[4]])</f>
        <v>-100</v>
      </c>
      <c r="G8" s="4" cm="1">
        <f t="array" ref="G8">SUMIFS(operations[[Amount]:[Amount]],operations[[Category]:[Category]],summary1[[#This Row],[Category]:[Category]],operations[[Month]:[Month]],summary1[[#Headers],[5]])</f>
        <v>0</v>
      </c>
      <c r="H8" s="4" cm="1">
        <f t="array" ref="H8">SUMIFS(operations[[Amount]:[Amount]],operations[[Category]:[Category]],summary1[[#This Row],[Category]:[Category]],operations[[Month]:[Month]],summary1[[#Headers],[6]])</f>
        <v>0</v>
      </c>
      <c r="I8" s="4" cm="1">
        <f t="array" ref="I8">SUMIFS(operations[[Amount]:[Amount]],operations[[Category]:[Category]],summary1[[#This Row],[Category]:[Category]],operations[[Month]:[Month]],summary1[[#Headers],[7]])</f>
        <v>0</v>
      </c>
      <c r="J8" s="4" cm="1">
        <f t="array" ref="J8">SUMIFS(operations[[Amount]:[Amount]],operations[[Category]:[Category]],summary1[[#This Row],[Category]:[Category]],operations[[Month]:[Month]],summary1[[#Headers],[8]])</f>
        <v>0</v>
      </c>
      <c r="K8" s="4" cm="1">
        <f t="array" ref="K8">SUMIFS(operations[[Amount]:[Amount]],operations[[Category]:[Category]],summary1[[#This Row],[Category]:[Category]],operations[[Month]:[Month]],summary1[[#Headers],[9]])</f>
        <v>0</v>
      </c>
      <c r="L8" s="4" cm="1">
        <f t="array" ref="L8">SUMIFS(operations[[Amount]:[Amount]],operations[[Category]:[Category]],summary1[[#This Row],[Category]:[Category]],operations[[Month]:[Month]],summary1[[#Headers],[10]])</f>
        <v>0</v>
      </c>
      <c r="M8" s="4" cm="1">
        <f t="array" ref="M8">SUMIFS(operations[[Amount]:[Amount]],operations[[Category]:[Category]],summary1[[#This Row],[Category]:[Category]],operations[[Month]:[Month]],summary1[[#Headers],[11]])</f>
        <v>-234</v>
      </c>
      <c r="N8" s="4" cm="1">
        <f t="array" ref="N8">SUMIFS(operations[[Amount]:[Amount]],operations[[Category]:[Category]],summary1[[#This Row],[Category]:[Category]],operations[[Month]:[Month]],summary1[[#Headers],[12]])</f>
        <v>-700</v>
      </c>
    </row>
    <row r="9" spans="1:14" x14ac:dyDescent="0.25">
      <c r="A9" t="s">
        <v>23</v>
      </c>
      <c r="B9" t="s">
        <v>32</v>
      </c>
      <c r="C9" s="4" cm="1">
        <f t="array" ref="C9">SUMIFS(operations[[Amount]:[Amount]],operations[[Category]:[Category]],summary1[[#This Row],[Category]:[Category]],operations[[Month]:[Month]],summary1[[#Headers],[1]])</f>
        <v>-100</v>
      </c>
      <c r="D9" s="4" cm="1">
        <f t="array" ref="D9">SUMIFS(operations[[Amount]:[Amount]],operations[[Category]:[Category]],summary1[[#This Row],[Category]:[Category]],operations[[Month]:[Month]],summary1[[#Headers],[2]])</f>
        <v>-100</v>
      </c>
      <c r="E9" s="4" cm="1">
        <f t="array" ref="E9">SUMIFS(operations[[Amount]:[Amount]],operations[[Category]:[Category]],summary1[[#This Row],[Category]:[Category]],operations[[Month]:[Month]],summary1[[#Headers],[3]])</f>
        <v>-79.5</v>
      </c>
      <c r="F9" s="4" cm="1">
        <f t="array" ref="F9">SUMIFS(operations[[Amount]:[Amount]],operations[[Category]:[Category]],summary1[[#This Row],[Category]:[Category]],operations[[Month]:[Month]],summary1[[#Headers],[4]])</f>
        <v>-139</v>
      </c>
      <c r="G9" s="4" cm="1">
        <f t="array" ref="G9">SUMIFS(operations[[Amount]:[Amount]],operations[[Category]:[Category]],summary1[[#This Row],[Category]:[Category]],operations[[Month]:[Month]],summary1[[#Headers],[5]])</f>
        <v>0</v>
      </c>
      <c r="H9" s="4" cm="1">
        <f t="array" ref="H9">SUMIFS(operations[[Amount]:[Amount]],operations[[Category]:[Category]],summary1[[#This Row],[Category]:[Category]],operations[[Month]:[Month]],summary1[[#Headers],[6]])</f>
        <v>0</v>
      </c>
      <c r="I9" s="4" cm="1">
        <f t="array" ref="I9">SUMIFS(operations[[Amount]:[Amount]],operations[[Category]:[Category]],summary1[[#This Row],[Category]:[Category]],operations[[Month]:[Month]],summary1[[#Headers],[7]])</f>
        <v>0</v>
      </c>
      <c r="J9" s="4" cm="1">
        <f t="array" ref="J9">SUMIFS(operations[[Amount]:[Amount]],operations[[Category]:[Category]],summary1[[#This Row],[Category]:[Category]],operations[[Month]:[Month]],summary1[[#Headers],[8]])</f>
        <v>0</v>
      </c>
      <c r="K9" s="4" cm="1">
        <f t="array" ref="K9">SUMIFS(operations[[Amount]:[Amount]],operations[[Category]:[Category]],summary1[[#This Row],[Category]:[Category]],operations[[Month]:[Month]],summary1[[#Headers],[9]])</f>
        <v>0</v>
      </c>
      <c r="L9" s="4" cm="1">
        <f t="array" ref="L9">SUMIFS(operations[[Amount]:[Amount]],operations[[Category]:[Category]],summary1[[#This Row],[Category]:[Category]],operations[[Month]:[Month]],summary1[[#Headers],[10]])</f>
        <v>0</v>
      </c>
      <c r="M9" s="4" cm="1">
        <f t="array" ref="M9">SUMIFS(operations[[Amount]:[Amount]],operations[[Category]:[Category]],summary1[[#This Row],[Category]:[Category]],operations[[Month]:[Month]],summary1[[#Headers],[11]])</f>
        <v>0</v>
      </c>
      <c r="N9" s="4" cm="1">
        <f t="array" ref="N9">SUMIFS(operations[[Amount]:[Amount]],operations[[Category]:[Category]],summary1[[#This Row],[Category]:[Category]],operations[[Month]:[Month]],summary1[[#Headers],[12]])</f>
        <v>-100</v>
      </c>
    </row>
    <row r="10" spans="1:14" x14ac:dyDescent="0.25">
      <c r="A10" t="s">
        <v>16</v>
      </c>
      <c r="B10" t="s">
        <v>32</v>
      </c>
      <c r="C10" s="4" cm="1">
        <f t="array" ref="C10">SUMIFS(operations[[Amount]:[Amount]],operations[[Category]:[Category]],summary1[[#This Row],[Category]:[Category]],operations[[Month]:[Month]],summary1[[#Headers],[1]])</f>
        <v>-80</v>
      </c>
      <c r="D10" s="4" cm="1">
        <f t="array" ref="D10">SUMIFS(operations[[Amount]:[Amount]],operations[[Category]:[Category]],summary1[[#This Row],[Category]:[Category]],operations[[Month]:[Month]],summary1[[#Headers],[2]])</f>
        <v>-80</v>
      </c>
      <c r="E10" s="4" cm="1">
        <f t="array" ref="E10">SUMIFS(operations[[Amount]:[Amount]],operations[[Category]:[Category]],summary1[[#This Row],[Category]:[Category]],operations[[Month]:[Month]],summary1[[#Headers],[3]])</f>
        <v>-82.5</v>
      </c>
      <c r="F10" s="4" cm="1">
        <f t="array" ref="F10">SUMIFS(operations[[Amount]:[Amount]],operations[[Category]:[Category]],summary1[[#This Row],[Category]:[Category]],operations[[Month]:[Month]],summary1[[#Headers],[4]])</f>
        <v>-82.5</v>
      </c>
      <c r="G10" s="4" cm="1">
        <f t="array" ref="G10">SUMIFS(operations[[Amount]:[Amount]],operations[[Category]:[Category]],summary1[[#This Row],[Category]:[Category]],operations[[Month]:[Month]],summary1[[#Headers],[5]])</f>
        <v>-80</v>
      </c>
      <c r="H10" s="4" cm="1">
        <f t="array" ref="H10">SUMIFS(operations[[Amount]:[Amount]],operations[[Category]:[Category]],summary1[[#This Row],[Category]:[Category]],operations[[Month]:[Month]],summary1[[#Headers],[6]])</f>
        <v>-80</v>
      </c>
      <c r="I10" s="4" cm="1">
        <f t="array" ref="I10">SUMIFS(operations[[Amount]:[Amount]],operations[[Category]:[Category]],summary1[[#This Row],[Category]:[Category]],operations[[Month]:[Month]],summary1[[#Headers],[7]])</f>
        <v>-90</v>
      </c>
      <c r="J10" s="4" cm="1">
        <f t="array" ref="J10">SUMIFS(operations[[Amount]:[Amount]],operations[[Category]:[Category]],summary1[[#This Row],[Category]:[Category]],operations[[Month]:[Month]],summary1[[#Headers],[8]])</f>
        <v>-290</v>
      </c>
      <c r="K10" s="4" cm="1">
        <f t="array" ref="K10">SUMIFS(operations[[Amount]:[Amount]],operations[[Category]:[Category]],summary1[[#This Row],[Category]:[Category]],operations[[Month]:[Month]],summary1[[#Headers],[9]])</f>
        <v>-150</v>
      </c>
      <c r="L10" s="4" cm="1">
        <f t="array" ref="L10">SUMIFS(operations[[Amount]:[Amount]],operations[[Category]:[Category]],summary1[[#This Row],[Category]:[Category]],operations[[Month]:[Month]],summary1[[#Headers],[10]])</f>
        <v>-150</v>
      </c>
      <c r="M10" s="4" cm="1">
        <f t="array" ref="M10">SUMIFS(operations[[Amount]:[Amount]],operations[[Category]:[Category]],summary1[[#This Row],[Category]:[Category]],operations[[Month]:[Month]],summary1[[#Headers],[11]])</f>
        <v>-208</v>
      </c>
      <c r="N10" s="4" cm="1">
        <f t="array" ref="N10">SUMIFS(operations[[Amount]:[Amount]],operations[[Category]:[Category]],summary1[[#This Row],[Category]:[Category]],operations[[Month]:[Month]],summary1[[#Headers],[12]])</f>
        <v>0</v>
      </c>
    </row>
    <row r="11" spans="1:14" x14ac:dyDescent="0.25">
      <c r="A11" t="s">
        <v>25</v>
      </c>
      <c r="B11" t="s">
        <v>33</v>
      </c>
      <c r="C11" s="4" cm="1">
        <f t="array" ref="C11">SUMIFS(operations[[Amount]:[Amount]],operations[[Category]:[Category]],summary1[[#This Row],[Category]:[Category]],operations[[Month]:[Month]],summary1[[#Headers],[1]])</f>
        <v>250</v>
      </c>
      <c r="D11" s="4" cm="1">
        <f t="array" ref="D11">SUMIFS(operations[[Amount]:[Amount]],operations[[Category]:[Category]],summary1[[#This Row],[Category]:[Category]],operations[[Month]:[Month]],summary1[[#Headers],[2]])</f>
        <v>0</v>
      </c>
      <c r="E11" s="4" cm="1">
        <f t="array" ref="E11">SUMIFS(operations[[Amount]:[Amount]],operations[[Category]:[Category]],summary1[[#This Row],[Category]:[Category]],operations[[Month]:[Month]],summary1[[#Headers],[3]])</f>
        <v>0</v>
      </c>
      <c r="F11" s="4" cm="1">
        <f t="array" ref="F11">SUMIFS(operations[[Amount]:[Amount]],operations[[Category]:[Category]],summary1[[#This Row],[Category]:[Category]],operations[[Month]:[Month]],summary1[[#Headers],[4]])</f>
        <v>0</v>
      </c>
      <c r="G11" s="4" cm="1">
        <f t="array" ref="G11">SUMIFS(operations[[Amount]:[Amount]],operations[[Category]:[Category]],summary1[[#This Row],[Category]:[Category]],operations[[Month]:[Month]],summary1[[#Headers],[5]])</f>
        <v>0</v>
      </c>
      <c r="H11" s="4" cm="1">
        <f t="array" ref="H11">SUMIFS(operations[[Amount]:[Amount]],operations[[Category]:[Category]],summary1[[#This Row],[Category]:[Category]],operations[[Month]:[Month]],summary1[[#Headers],[6]])</f>
        <v>400</v>
      </c>
      <c r="I11" s="4" cm="1">
        <f t="array" ref="I11">SUMIFS(operations[[Amount]:[Amount]],operations[[Category]:[Category]],summary1[[#This Row],[Category]:[Category]],operations[[Month]:[Month]],summary1[[#Headers],[7]])</f>
        <v>0</v>
      </c>
      <c r="J11" s="4" cm="1">
        <f t="array" ref="J11">SUMIFS(operations[[Amount]:[Amount]],operations[[Category]:[Category]],summary1[[#This Row],[Category]:[Category]],operations[[Month]:[Month]],summary1[[#Headers],[8]])</f>
        <v>0</v>
      </c>
      <c r="K11" s="4" cm="1">
        <f t="array" ref="K11">SUMIFS(operations[[Amount]:[Amount]],operations[[Category]:[Category]],summary1[[#This Row],[Category]:[Category]],operations[[Month]:[Month]],summary1[[#Headers],[9]])</f>
        <v>0</v>
      </c>
      <c r="L11" s="4" cm="1">
        <f t="array" ref="L11">SUMIFS(operations[[Amount]:[Amount]],operations[[Category]:[Category]],summary1[[#This Row],[Category]:[Category]],operations[[Month]:[Month]],summary1[[#Headers],[10]])</f>
        <v>0</v>
      </c>
      <c r="M11" s="4" cm="1">
        <f t="array" ref="M11">SUMIFS(operations[[Amount]:[Amount]],operations[[Category]:[Category]],summary1[[#This Row],[Category]:[Category]],operations[[Month]:[Month]],summary1[[#Headers],[11]])</f>
        <v>0</v>
      </c>
      <c r="N11" s="4" cm="1">
        <f t="array" ref="N11">SUMIFS(operations[[Amount]:[Amount]],operations[[Category]:[Category]],summary1[[#This Row],[Category]:[Category]],operations[[Month]:[Month]],summary1[[#Headers],[12]])</f>
        <v>0</v>
      </c>
    </row>
    <row r="12" spans="1:14" x14ac:dyDescent="0.25">
      <c r="A12" t="s">
        <v>28</v>
      </c>
      <c r="B12" t="s">
        <v>33</v>
      </c>
      <c r="C12" s="4" cm="1">
        <f t="array" ref="C12">SUMIFS(operations[[Amount]:[Amount]],operations[[Category]:[Category]],summary1[[#This Row],[Category]:[Category]],operations[[Month]:[Month]],summary1[[#Headers],[1]])</f>
        <v>105.5</v>
      </c>
      <c r="D12" s="4" cm="1">
        <f t="array" ref="D12">SUMIFS(operations[[Amount]:[Amount]],operations[[Category]:[Category]],summary1[[#This Row],[Category]:[Category]],operations[[Month]:[Month]],summary1[[#Headers],[2]])</f>
        <v>115</v>
      </c>
      <c r="E12" s="4" cm="1">
        <f t="array" ref="E12">SUMIFS(operations[[Amount]:[Amount]],operations[[Category]:[Category]],summary1[[#This Row],[Category]:[Category]],operations[[Month]:[Month]],summary1[[#Headers],[3]])</f>
        <v>150</v>
      </c>
      <c r="F12" s="4" cm="1">
        <f t="array" ref="F12">SUMIFS(operations[[Amount]:[Amount]],operations[[Category]:[Category]],summary1[[#This Row],[Category]:[Category]],operations[[Month]:[Month]],summary1[[#Headers],[4]])</f>
        <v>150</v>
      </c>
      <c r="G12" s="4" cm="1">
        <f t="array" ref="G12">SUMIFS(operations[[Amount]:[Amount]],operations[[Category]:[Category]],summary1[[#This Row],[Category]:[Category]],operations[[Month]:[Month]],summary1[[#Headers],[5]])</f>
        <v>0</v>
      </c>
      <c r="H12" s="4" cm="1">
        <f t="array" ref="H12">SUMIFS(operations[[Amount]:[Amount]],operations[[Category]:[Category]],summary1[[#This Row],[Category]:[Category]],operations[[Month]:[Month]],summary1[[#Headers],[6]])</f>
        <v>0</v>
      </c>
      <c r="I12" s="4" cm="1">
        <f t="array" ref="I12">SUMIFS(operations[[Amount]:[Amount]],operations[[Category]:[Category]],summary1[[#This Row],[Category]:[Category]],operations[[Month]:[Month]],summary1[[#Headers],[7]])</f>
        <v>120</v>
      </c>
      <c r="J12" s="4" cm="1">
        <f t="array" ref="J12">SUMIFS(operations[[Amount]:[Amount]],operations[[Category]:[Category]],summary1[[#This Row],[Category]:[Category]],operations[[Month]:[Month]],summary1[[#Headers],[8]])</f>
        <v>0</v>
      </c>
      <c r="K12" s="4" cm="1">
        <f t="array" ref="K12">SUMIFS(operations[[Amount]:[Amount]],operations[[Category]:[Category]],summary1[[#This Row],[Category]:[Category]],operations[[Month]:[Month]],summary1[[#Headers],[9]])</f>
        <v>0</v>
      </c>
      <c r="L12" s="4" cm="1">
        <f t="array" ref="L12">SUMIFS(operations[[Amount]:[Amount]],operations[[Category]:[Category]],summary1[[#This Row],[Category]:[Category]],operations[[Month]:[Month]],summary1[[#Headers],[10]])</f>
        <v>0</v>
      </c>
      <c r="M12" s="4" cm="1">
        <f t="array" ref="M12">SUMIFS(operations[[Amount]:[Amount]],operations[[Category]:[Category]],summary1[[#This Row],[Category]:[Category]],operations[[Month]:[Month]],summary1[[#Headers],[11]])</f>
        <v>0</v>
      </c>
      <c r="N12" s="4" cm="1">
        <f t="array" ref="N12">SUMIFS(operations[[Amount]:[Amount]],operations[[Category]:[Category]],summary1[[#This Row],[Category]:[Category]],operations[[Month]:[Month]],summary1[[#Headers],[12]])</f>
        <v>0</v>
      </c>
    </row>
    <row r="13" spans="1:14" x14ac:dyDescent="0.25">
      <c r="A13" t="s">
        <v>29</v>
      </c>
      <c r="B13" t="s">
        <v>33</v>
      </c>
      <c r="C13" s="4" cm="1">
        <f t="array" ref="C13">SUMIFS(operations[[Amount]:[Amount]],operations[[Category]:[Category]],summary1[[#This Row],[Category]:[Category]],operations[[Month]:[Month]],summary1[[#Headers],[1]])</f>
        <v>0</v>
      </c>
      <c r="D13" s="4" cm="1">
        <f t="array" ref="D13">SUMIFS(operations[[Amount]:[Amount]],operations[[Category]:[Category]],summary1[[#This Row],[Category]:[Category]],operations[[Month]:[Month]],summary1[[#Headers],[2]])</f>
        <v>0</v>
      </c>
      <c r="E13" s="4" cm="1">
        <f t="array" ref="E13">SUMIFS(operations[[Amount]:[Amount]],operations[[Category]:[Category]],summary1[[#This Row],[Category]:[Category]],operations[[Month]:[Month]],summary1[[#Headers],[3]])</f>
        <v>5</v>
      </c>
      <c r="F13" s="4" cm="1">
        <f t="array" ref="F13">SUMIFS(operations[[Amount]:[Amount]],operations[[Category]:[Category]],summary1[[#This Row],[Category]:[Category]],operations[[Month]:[Month]],summary1[[#Headers],[4]])</f>
        <v>50</v>
      </c>
      <c r="G13" s="4" cm="1">
        <f t="array" ref="G13">SUMIFS(operations[[Amount]:[Amount]],operations[[Category]:[Category]],summary1[[#This Row],[Category]:[Category]],operations[[Month]:[Month]],summary1[[#Headers],[5]])</f>
        <v>0</v>
      </c>
      <c r="H13" s="4" cm="1">
        <f t="array" ref="H13">SUMIFS(operations[[Amount]:[Amount]],operations[[Category]:[Category]],summary1[[#This Row],[Category]:[Category]],operations[[Month]:[Month]],summary1[[#Headers],[6]])</f>
        <v>0</v>
      </c>
      <c r="I13" s="4" cm="1">
        <f t="array" ref="I13">SUMIFS(operations[[Amount]:[Amount]],operations[[Category]:[Category]],summary1[[#This Row],[Category]:[Category]],operations[[Month]:[Month]],summary1[[#Headers],[7]])</f>
        <v>800</v>
      </c>
      <c r="J13" s="4" cm="1">
        <f t="array" ref="J13">SUMIFS(operations[[Amount]:[Amount]],operations[[Category]:[Category]],summary1[[#This Row],[Category]:[Category]],operations[[Month]:[Month]],summary1[[#Headers],[8]])</f>
        <v>400</v>
      </c>
      <c r="K13" s="4" cm="1">
        <f t="array" ref="K13">SUMIFS(operations[[Amount]:[Amount]],operations[[Category]:[Category]],summary1[[#This Row],[Category]:[Category]],operations[[Month]:[Month]],summary1[[#Headers],[9]])</f>
        <v>0</v>
      </c>
      <c r="L13" s="4" cm="1">
        <f t="array" ref="L13">SUMIFS(operations[[Amount]:[Amount]],operations[[Category]:[Category]],summary1[[#This Row],[Category]:[Category]],operations[[Month]:[Month]],summary1[[#Headers],[10]])</f>
        <v>0</v>
      </c>
      <c r="M13" s="4" cm="1">
        <f t="array" ref="M13">SUMIFS(operations[[Amount]:[Amount]],operations[[Category]:[Category]],summary1[[#This Row],[Category]:[Category]],operations[[Month]:[Month]],summary1[[#Headers],[11]])</f>
        <v>400</v>
      </c>
      <c r="N13" s="4" cm="1">
        <f t="array" ref="N13">SUMIFS(operations[[Amount]:[Amount]],operations[[Category]:[Category]],summary1[[#This Row],[Category]:[Category]],operations[[Month]:[Month]],summary1[[#Headers],[12]])</f>
        <v>2000</v>
      </c>
    </row>
    <row r="14" spans="1:14" x14ac:dyDescent="0.25">
      <c r="A14" t="s">
        <v>30</v>
      </c>
      <c r="B14" t="s">
        <v>33</v>
      </c>
      <c r="C14" s="4" cm="1">
        <f t="array" ref="C14">SUMIFS(operations[[Amount]:[Amount]],operations[[Category]:[Category]],summary1[[#This Row],[Category]:[Category]],operations[[Month]:[Month]],summary1[[#Headers],[1]])</f>
        <v>800</v>
      </c>
      <c r="D14" s="4" cm="1">
        <f t="array" ref="D14">SUMIFS(operations[[Amount]:[Amount]],operations[[Category]:[Category]],summary1[[#This Row],[Category]:[Category]],operations[[Month]:[Month]],summary1[[#Headers],[2]])</f>
        <v>1950</v>
      </c>
      <c r="E14" s="4" cm="1">
        <f t="array" ref="E14">SUMIFS(operations[[Amount]:[Amount]],operations[[Category]:[Category]],summary1[[#This Row],[Category]:[Category]],operations[[Month]:[Month]],summary1[[#Headers],[3]])</f>
        <v>0</v>
      </c>
      <c r="F14" s="4" cm="1">
        <f t="array" ref="F14">SUMIFS(operations[[Amount]:[Amount]],operations[[Category]:[Category]],summary1[[#This Row],[Category]:[Category]],operations[[Month]:[Month]],summary1[[#Headers],[4]])</f>
        <v>0</v>
      </c>
      <c r="G14" s="4" cm="1">
        <f t="array" ref="G14">SUMIFS(operations[[Amount]:[Amount]],operations[[Category]:[Category]],summary1[[#This Row],[Category]:[Category]],operations[[Month]:[Month]],summary1[[#Headers],[5]])</f>
        <v>0</v>
      </c>
      <c r="H14" s="4" cm="1">
        <f t="array" ref="H14">SUMIFS(operations[[Amount]:[Amount]],operations[[Category]:[Category]],summary1[[#This Row],[Category]:[Category]],operations[[Month]:[Month]],summary1[[#Headers],[6]])</f>
        <v>0</v>
      </c>
      <c r="I14" s="4" cm="1">
        <f t="array" ref="I14">SUMIFS(operations[[Amount]:[Amount]],operations[[Category]:[Category]],summary1[[#This Row],[Category]:[Category]],operations[[Month]:[Month]],summary1[[#Headers],[7]])</f>
        <v>0</v>
      </c>
      <c r="J14" s="4" cm="1">
        <f t="array" ref="J14">SUMIFS(operations[[Amount]:[Amount]],operations[[Category]:[Category]],summary1[[#This Row],[Category]:[Category]],operations[[Month]:[Month]],summary1[[#Headers],[8]])</f>
        <v>0</v>
      </c>
      <c r="K14" s="4" cm="1">
        <f t="array" ref="K14">SUMIFS(operations[[Amount]:[Amount]],operations[[Category]:[Category]],summary1[[#This Row],[Category]:[Category]],operations[[Month]:[Month]],summary1[[#Headers],[9]])</f>
        <v>0</v>
      </c>
      <c r="L14" s="4" cm="1">
        <f t="array" ref="L14">SUMIFS(operations[[Amount]:[Amount]],operations[[Category]:[Category]],summary1[[#This Row],[Category]:[Category]],operations[[Month]:[Month]],summary1[[#Headers],[10]])</f>
        <v>0</v>
      </c>
      <c r="M14" s="4" cm="1">
        <f t="array" ref="M14">SUMIFS(operations[[Amount]:[Amount]],operations[[Category]:[Category]],summary1[[#This Row],[Category]:[Category]],operations[[Month]:[Month]],summary1[[#Headers],[11]])</f>
        <v>0</v>
      </c>
      <c r="N14" s="4" cm="1">
        <f t="array" ref="N14">SUMIFS(operations[[Amount]:[Amount]],operations[[Category]:[Category]],summary1[[#This Row],[Category]:[Category]],operations[[Month]:[Month]],summary1[[#Headers],[12]])</f>
        <v>0</v>
      </c>
    </row>
    <row r="15" spans="1:14" x14ac:dyDescent="0.25">
      <c r="A15" t="s">
        <v>26</v>
      </c>
      <c r="B15" t="s">
        <v>33</v>
      </c>
      <c r="C15" s="4" cm="1">
        <f t="array" ref="C15">SUMIFS(operations[[Amount]:[Amount]],operations[[Category]:[Category]],summary1[[#This Row],[Category]:[Category]],operations[[Month]:[Month]],summary1[[#Headers],[1]])</f>
        <v>4500</v>
      </c>
      <c r="D15" s="4" cm="1">
        <f t="array" ref="D15">SUMIFS(operations[[Amount]:[Amount]],operations[[Category]:[Category]],summary1[[#This Row],[Category]:[Category]],operations[[Month]:[Month]],summary1[[#Headers],[2]])</f>
        <v>4500</v>
      </c>
      <c r="E15" s="4" cm="1">
        <f t="array" ref="E15">SUMIFS(operations[[Amount]:[Amount]],operations[[Category]:[Category]],summary1[[#This Row],[Category]:[Category]],operations[[Month]:[Month]],summary1[[#Headers],[3]])</f>
        <v>4500</v>
      </c>
      <c r="F15" s="4" cm="1">
        <f t="array" ref="F15">SUMIFS(operations[[Amount]:[Amount]],operations[[Category]:[Category]],summary1[[#This Row],[Category]:[Category]],operations[[Month]:[Month]],summary1[[#Headers],[4]])</f>
        <v>4500</v>
      </c>
      <c r="G15" s="4" cm="1">
        <f t="array" ref="G15">SUMIFS(operations[[Amount]:[Amount]],operations[[Category]:[Category]],summary1[[#This Row],[Category]:[Category]],operations[[Month]:[Month]],summary1[[#Headers],[5]])</f>
        <v>4500</v>
      </c>
      <c r="H15" s="4" cm="1">
        <f t="array" ref="H15">SUMIFS(operations[[Amount]:[Amount]],operations[[Category]:[Category]],summary1[[#This Row],[Category]:[Category]],operations[[Month]:[Month]],summary1[[#Headers],[6]])</f>
        <v>4500</v>
      </c>
      <c r="I15" s="4" cm="1">
        <f t="array" ref="I15">SUMIFS(operations[[Amount]:[Amount]],operations[[Category]:[Category]],summary1[[#This Row],[Category]:[Category]],operations[[Month]:[Month]],summary1[[#Headers],[7]])</f>
        <v>4500</v>
      </c>
      <c r="J15" s="4" cm="1">
        <f t="array" ref="J15">SUMIFS(operations[[Amount]:[Amount]],operations[[Category]:[Category]],summary1[[#This Row],[Category]:[Category]],operations[[Month]:[Month]],summary1[[#Headers],[8]])</f>
        <v>4500</v>
      </c>
      <c r="K15" s="4" cm="1">
        <f t="array" ref="K15">SUMIFS(operations[[Amount]:[Amount]],operations[[Category]:[Category]],summary1[[#This Row],[Category]:[Category]],operations[[Month]:[Month]],summary1[[#Headers],[9]])</f>
        <v>4500</v>
      </c>
      <c r="L15" s="4" cm="1">
        <f t="array" ref="L15">SUMIFS(operations[[Amount]:[Amount]],operations[[Category]:[Category]],summary1[[#This Row],[Category]:[Category]],operations[[Month]:[Month]],summary1[[#Headers],[10]])</f>
        <v>4500</v>
      </c>
      <c r="M15" s="4" cm="1">
        <f t="array" ref="M15">SUMIFS(operations[[Amount]:[Amount]],operations[[Category]:[Category]],summary1[[#This Row],[Category]:[Category]],operations[[Month]:[Month]],summary1[[#Headers],[11]])</f>
        <v>4500</v>
      </c>
      <c r="N15" s="4" cm="1">
        <f t="array" ref="N15">SUMIFS(operations[[Amount]:[Amount]],operations[[Category]:[Category]],summary1[[#This Row],[Category]:[Category]],operations[[Month]:[Month]],summary1[[#Headers],[12]])</f>
        <v>4500</v>
      </c>
    </row>
    <row r="16" spans="1:14" x14ac:dyDescent="0.25">
      <c r="A16" t="s">
        <v>27</v>
      </c>
      <c r="B16" t="s">
        <v>33</v>
      </c>
      <c r="C16" s="4" cm="1">
        <f t="array" ref="C16">SUMIFS(operations[[Amount]:[Amount]],operations[[Category]:[Category]],summary1[[#This Row],[Category]:[Category]],operations[[Month]:[Month]],summary1[[#Headers],[1]])</f>
        <v>0</v>
      </c>
      <c r="D16" s="4" cm="1">
        <f t="array" ref="D16">SUMIFS(operations[[Amount]:[Amount]],operations[[Category]:[Category]],summary1[[#This Row],[Category]:[Category]],operations[[Month]:[Month]],summary1[[#Headers],[2]])</f>
        <v>0</v>
      </c>
      <c r="E16" s="4" cm="1">
        <f t="array" ref="E16">SUMIFS(operations[[Amount]:[Amount]],operations[[Category]:[Category]],summary1[[#This Row],[Category]:[Category]],operations[[Month]:[Month]],summary1[[#Headers],[3]])</f>
        <v>0</v>
      </c>
      <c r="F16" s="4" cm="1">
        <f t="array" ref="F16">SUMIFS(operations[[Amount]:[Amount]],operations[[Category]:[Category]],summary1[[#This Row],[Category]:[Category]],operations[[Month]:[Month]],summary1[[#Headers],[4]])</f>
        <v>0</v>
      </c>
      <c r="G16" s="4" cm="1">
        <f t="array" ref="G16">SUMIFS(operations[[Amount]:[Amount]],operations[[Category]:[Category]],summary1[[#This Row],[Category]:[Category]],operations[[Month]:[Month]],summary1[[#Headers],[5]])</f>
        <v>0</v>
      </c>
      <c r="H16" s="4" cm="1">
        <f t="array" ref="H16">SUMIFS(operations[[Amount]:[Amount]],operations[[Category]:[Category]],summary1[[#This Row],[Category]:[Category]],operations[[Month]:[Month]],summary1[[#Headers],[6]])</f>
        <v>0</v>
      </c>
      <c r="I16" s="4" cm="1">
        <f t="array" ref="I16">SUMIFS(operations[[Amount]:[Amount]],operations[[Category]:[Category]],summary1[[#This Row],[Category]:[Category]],operations[[Month]:[Month]],summary1[[#Headers],[7]])</f>
        <v>500</v>
      </c>
      <c r="J16" s="4" cm="1">
        <f t="array" ref="J16">SUMIFS(operations[[Amount]:[Amount]],operations[[Category]:[Category]],summary1[[#This Row],[Category]:[Category]],operations[[Month]:[Month]],summary1[[#Headers],[8]])</f>
        <v>500</v>
      </c>
      <c r="K16" s="4" cm="1">
        <f t="array" ref="K16">SUMIFS(operations[[Amount]:[Amount]],operations[[Category]:[Category]],summary1[[#This Row],[Category]:[Category]],operations[[Month]:[Month]],summary1[[#Headers],[9]])</f>
        <v>0</v>
      </c>
      <c r="L16" s="4" cm="1">
        <f t="array" ref="L16">SUMIFS(operations[[Amount]:[Amount]],operations[[Category]:[Category]],summary1[[#This Row],[Category]:[Category]],operations[[Month]:[Month]],summary1[[#Headers],[10]])</f>
        <v>0</v>
      </c>
      <c r="M16" s="4" cm="1">
        <f t="array" ref="M16">SUMIFS(operations[[Amount]:[Amount]],operations[[Category]:[Category]],summary1[[#This Row],[Category]:[Category]],operations[[Month]:[Month]],summary1[[#Headers],[11]])</f>
        <v>0</v>
      </c>
      <c r="N16" s="4" cm="1">
        <f t="array" ref="N16">SUMIFS(operations[[Amount]:[Amount]],operations[[Category]:[Category]],summary1[[#This Row],[Category]:[Category]],operations[[Month]:[Month]],summary1[[#Headers],[12]])</f>
        <v>0</v>
      </c>
    </row>
    <row r="17" spans="1:14" x14ac:dyDescent="0.25">
      <c r="A17" t="s">
        <v>31</v>
      </c>
      <c r="B17" t="s">
        <v>31</v>
      </c>
      <c r="C17" s="4" cm="1">
        <f t="array" ref="C17">SUMIFS(operations[[Amount]:[Amount]],operations[[Category]:[Category]],summary1[[#This Row],[Category]:[Category]],operations[[Month]:[Month]],summary1[[#Headers],[1]])</f>
        <v>0</v>
      </c>
      <c r="D17" s="4" cm="1">
        <f t="array" ref="D17">SUMIFS(operations[[Amount]:[Amount]],operations[[Category]:[Category]],summary1[[#This Row],[Category]:[Category]],operations[[Month]:[Month]],summary1[[#Headers],[2]])</f>
        <v>0</v>
      </c>
      <c r="E17" s="4" cm="1">
        <f t="array" ref="E17">SUMIFS(operations[[Amount]:[Amount]],operations[[Category]:[Category]],summary1[[#This Row],[Category]:[Category]],operations[[Month]:[Month]],summary1[[#Headers],[3]])</f>
        <v>0</v>
      </c>
      <c r="F17" s="4" cm="1">
        <f t="array" ref="F17">SUMIFS(operations[[Amount]:[Amount]],operations[[Category]:[Category]],summary1[[#This Row],[Category]:[Category]],operations[[Month]:[Month]],summary1[[#Headers],[4]])</f>
        <v>0</v>
      </c>
      <c r="G17" s="4" cm="1">
        <f t="array" ref="G17">SUMIFS(operations[[Amount]:[Amount]],operations[[Category]:[Category]],summary1[[#This Row],[Category]:[Category]],operations[[Month]:[Month]],summary1[[#Headers],[5]])</f>
        <v>0</v>
      </c>
      <c r="H17" s="4" cm="1">
        <f t="array" ref="H17">SUMIFS(operations[[Amount]:[Amount]],operations[[Category]:[Category]],summary1[[#This Row],[Category]:[Category]],operations[[Month]:[Month]],summary1[[#Headers],[6]])</f>
        <v>0</v>
      </c>
      <c r="I17" s="4" cm="1">
        <f t="array" ref="I17">SUMIFS(operations[[Amount]:[Amount]],operations[[Category]:[Category]],summary1[[#This Row],[Category]:[Category]],operations[[Month]:[Month]],summary1[[#Headers],[7]])</f>
        <v>0</v>
      </c>
      <c r="J17" s="4" cm="1">
        <f t="array" ref="J17">SUMIFS(operations[[Amount]:[Amount]],operations[[Category]:[Category]],summary1[[#This Row],[Category]:[Category]],operations[[Month]:[Month]],summary1[[#Headers],[8]])</f>
        <v>-1020</v>
      </c>
      <c r="K17" s="4" cm="1">
        <f t="array" ref="K17">SUMIFS(operations[[Amount]:[Amount]],operations[[Category]:[Category]],summary1[[#This Row],[Category]:[Category]],operations[[Month]:[Month]],summary1[[#Headers],[9]])</f>
        <v>0</v>
      </c>
      <c r="L17" s="4" cm="1">
        <f t="array" ref="L17">SUMIFS(operations[[Amount]:[Amount]],operations[[Category]:[Category]],summary1[[#This Row],[Category]:[Category]],operations[[Month]:[Month]],summary1[[#Headers],[10]])</f>
        <v>0</v>
      </c>
      <c r="M17" s="4" cm="1">
        <f t="array" ref="M17">SUMIFS(operations[[Amount]:[Amount]],operations[[Category]:[Category]],summary1[[#This Row],[Category]:[Category]],operations[[Month]:[Month]],summary1[[#Headers],[11]])</f>
        <v>0</v>
      </c>
      <c r="N17" s="4" cm="1">
        <f t="array" ref="N17">SUMIFS(operations[[Amount]:[Amount]],operations[[Category]:[Category]],summary1[[#This Row],[Category]:[Category]],operations[[Month]:[Month]],summary1[[#Headers],[12]])</f>
        <v>0</v>
      </c>
    </row>
    <row r="18" spans="1:14" x14ac:dyDescent="0.25">
      <c r="A18" t="s">
        <v>37</v>
      </c>
      <c r="B18" s="4"/>
      <c r="C18" s="4">
        <f>SUBTOTAL(109,summary1[1])</f>
        <v>845.5</v>
      </c>
      <c r="D18" s="4">
        <f>SUBTOTAL(109,summary1[2])</f>
        <v>2464.5</v>
      </c>
      <c r="E18" s="4">
        <f>SUBTOTAL(109,summary1[3])</f>
        <v>755.60999999999967</v>
      </c>
      <c r="F18" s="4">
        <f>SUBTOTAL(109,summary1[4])</f>
        <v>726.84000000000015</v>
      </c>
      <c r="G18" s="4">
        <f>SUBTOTAL(109,summary1[5])</f>
        <v>1290</v>
      </c>
      <c r="H18" s="4">
        <f>SUBTOTAL(109,summary1[6])</f>
        <v>1170</v>
      </c>
      <c r="I18" s="4">
        <f>SUBTOTAL(109,summary1[7])</f>
        <v>2915</v>
      </c>
      <c r="J18" s="4">
        <f>SUBTOTAL(109,summary1[8])</f>
        <v>390.5</v>
      </c>
      <c r="K18" s="4">
        <f>SUBTOTAL(109,summary1[9])</f>
        <v>1751.5</v>
      </c>
      <c r="L18" s="4">
        <f>SUBTOTAL(109,summary1[10])</f>
        <v>1670</v>
      </c>
      <c r="M18" s="4">
        <f>SUBTOTAL(109,summary1[11])</f>
        <v>1400</v>
      </c>
      <c r="N18" s="4">
        <f>SUBTOTAL(109,summary1[12])</f>
        <v>2420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17E3-E67A-46E8-A048-EFA0DF23C304}">
  <dimension ref="A1:N21"/>
  <sheetViews>
    <sheetView workbookViewId="0">
      <selection activeCell="E10" sqref="E10"/>
    </sheetView>
  </sheetViews>
  <sheetFormatPr defaultRowHeight="15" outlineLevelRow="2" x14ac:dyDescent="0.25"/>
  <cols>
    <col min="1" max="1" width="15.7109375" customWidth="1"/>
    <col min="2" max="2" width="16.140625" customWidth="1"/>
    <col min="3" max="14" width="11.42578125" bestFit="1" customWidth="1"/>
  </cols>
  <sheetData>
    <row r="1" spans="1:14" x14ac:dyDescent="0.25">
      <c r="A1" t="s">
        <v>3</v>
      </c>
      <c r="B1" t="s">
        <v>4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</row>
    <row r="2" spans="1:14" outlineLevel="2" x14ac:dyDescent="0.25">
      <c r="A2" t="s">
        <v>18</v>
      </c>
      <c r="B2" t="s">
        <v>32</v>
      </c>
      <c r="C2" s="4">
        <f>SUMIFS(operations[[Amount]:[Amount]],operations[[Category]:[Category]],$A2,operations[[Month]:[Month]],C$1)</f>
        <v>-2000</v>
      </c>
      <c r="D2" s="4">
        <f>SUMIFS(operations[[Amount]:[Amount]],operations[[Category]:[Category]],$A2,operations[[Month]:[Month]],D$1)</f>
        <v>-2000</v>
      </c>
      <c r="E2" s="4">
        <f>SUMIFS(operations[[Amount]:[Amount]],operations[[Category]:[Category]],$A2,operations[[Month]:[Month]],E$1)</f>
        <v>-2000</v>
      </c>
      <c r="F2" s="4">
        <f>SUMIFS(operations[[Amount]:[Amount]],operations[[Category]:[Category]],$A2,operations[[Month]:[Month]],F$1)</f>
        <v>-2000</v>
      </c>
      <c r="G2" s="4">
        <f>SUMIFS(operations[[Amount]:[Amount]],operations[[Category]:[Category]],$A2,operations[[Month]:[Month]],G$1)</f>
        <v>-2000</v>
      </c>
      <c r="H2" s="4">
        <f>SUMIFS(operations[[Amount]:[Amount]],operations[[Category]:[Category]],$A2,operations[[Month]:[Month]],H$1)</f>
        <v>-2000</v>
      </c>
      <c r="I2" s="4">
        <f>SUMIFS(operations[[Amount]:[Amount]],operations[[Category]:[Category]],$A2,operations[[Month]:[Month]],I$1)</f>
        <v>-2000</v>
      </c>
      <c r="J2" s="4">
        <f>SUMIFS(operations[[Amount]:[Amount]],operations[[Category]:[Category]],$A2,operations[[Month]:[Month]],J$1)</f>
        <v>-2000</v>
      </c>
      <c r="K2" s="4">
        <f>SUMIFS(operations[[Amount]:[Amount]],operations[[Category]:[Category]],$A2,operations[[Month]:[Month]],K$1)</f>
        <v>-2000</v>
      </c>
      <c r="L2" s="4">
        <f>SUMIFS(operations[[Amount]:[Amount]],operations[[Category]:[Category]],$A2,operations[[Month]:[Month]],L$1)</f>
        <v>-2000</v>
      </c>
      <c r="M2" s="4">
        <f>SUMIFS(operations[[Amount]:[Amount]],operations[[Category]:[Category]],$A2,operations[[Month]:[Month]],M$1)</f>
        <v>-2000</v>
      </c>
      <c r="N2" s="4">
        <f>SUMIFS(operations[[Amount]:[Amount]],operations[[Category]:[Category]],$A2,operations[[Month]:[Month]],N$1)</f>
        <v>-2000</v>
      </c>
    </row>
    <row r="3" spans="1:14" outlineLevel="2" x14ac:dyDescent="0.25">
      <c r="A3" t="s">
        <v>22</v>
      </c>
      <c r="B3" t="s">
        <v>32</v>
      </c>
      <c r="C3" s="4">
        <f>SUMIFS(operations[[Amount]:[Amount]],operations[[Category]:[Category]],$A3,operations[[Month]:[Month]],C$1)</f>
        <v>-80</v>
      </c>
      <c r="D3" s="4">
        <f>SUMIFS(operations[[Amount]:[Amount]],operations[[Category]:[Category]],$A3,operations[[Month]:[Month]],D$1)</f>
        <v>0</v>
      </c>
      <c r="E3" s="4">
        <f>SUMIFS(operations[[Amount]:[Amount]],operations[[Category]:[Category]],$A3,operations[[Month]:[Month]],E$1)</f>
        <v>-469.9</v>
      </c>
      <c r="F3" s="4">
        <f>SUMIFS(operations[[Amount]:[Amount]],operations[[Category]:[Category]],$A3,operations[[Month]:[Month]],F$1)</f>
        <v>-149</v>
      </c>
      <c r="G3" s="4">
        <f>SUMIFS(operations[[Amount]:[Amount]],operations[[Category]:[Category]],$A3,operations[[Month]:[Month]],G$1)</f>
        <v>0</v>
      </c>
      <c r="H3" s="4">
        <f>SUMIFS(operations[[Amount]:[Amount]],operations[[Category]:[Category]],$A3,operations[[Month]:[Month]],H$1)</f>
        <v>-300</v>
      </c>
      <c r="I3" s="4">
        <f>SUMIFS(operations[[Amount]:[Amount]],operations[[Category]:[Category]],$A3,operations[[Month]:[Month]],I$1)</f>
        <v>250</v>
      </c>
      <c r="J3" s="4">
        <f>SUMIFS(operations[[Amount]:[Amount]],operations[[Category]:[Category]],$A3,operations[[Month]:[Month]],J$1)</f>
        <v>-300</v>
      </c>
      <c r="K3" s="4">
        <f>SUMIFS(operations[[Amount]:[Amount]],operations[[Category]:[Category]],$A3,operations[[Month]:[Month]],K$1)</f>
        <v>0</v>
      </c>
      <c r="L3" s="4">
        <f>SUMIFS(operations[[Amount]:[Amount]],operations[[Category]:[Category]],$A3,operations[[Month]:[Month]],L$1)</f>
        <v>0</v>
      </c>
      <c r="M3" s="4">
        <f>SUMIFS(operations[[Amount]:[Amount]],operations[[Category]:[Category]],$A3,operations[[Month]:[Month]],M$1)</f>
        <v>-158</v>
      </c>
      <c r="N3" s="4">
        <f>SUMIFS(operations[[Amount]:[Amount]],operations[[Category]:[Category]],$A3,operations[[Month]:[Month]],N$1)</f>
        <v>-120</v>
      </c>
    </row>
    <row r="4" spans="1:14" outlineLevel="2" x14ac:dyDescent="0.25">
      <c r="A4" t="s">
        <v>20</v>
      </c>
      <c r="B4" t="s">
        <v>32</v>
      </c>
      <c r="C4" s="4">
        <f>SUMIFS(operations[[Amount]:[Amount]],operations[[Category]:[Category]],$A4,operations[[Month]:[Month]],C$1)</f>
        <v>-85</v>
      </c>
      <c r="D4" s="4">
        <f>SUMIFS(operations[[Amount]:[Amount]],operations[[Category]:[Category]],$A4,operations[[Month]:[Month]],D$1)</f>
        <v>-350</v>
      </c>
      <c r="E4" s="4">
        <f>SUMIFS(operations[[Amount]:[Amount]],operations[[Category]:[Category]],$A4,operations[[Month]:[Month]],E$1)</f>
        <v>-200</v>
      </c>
      <c r="F4" s="4">
        <f>SUMIFS(operations[[Amount]:[Amount]],operations[[Category]:[Category]],$A4,operations[[Month]:[Month]],F$1)</f>
        <v>-1057.9000000000001</v>
      </c>
      <c r="G4" s="4">
        <f>SUMIFS(operations[[Amount]:[Amount]],operations[[Category]:[Category]],$A4,operations[[Month]:[Month]],G$1)</f>
        <v>-80</v>
      </c>
      <c r="H4" s="4">
        <f>SUMIFS(operations[[Amount]:[Amount]],operations[[Category]:[Category]],$A4,operations[[Month]:[Month]],H$1)</f>
        <v>-200</v>
      </c>
      <c r="I4" s="4">
        <f>SUMIFS(operations[[Amount]:[Amount]],operations[[Category]:[Category]],$A4,operations[[Month]:[Month]],I$1)</f>
        <v>-700</v>
      </c>
      <c r="J4" s="4">
        <f>SUMIFS(operations[[Amount]:[Amount]],operations[[Category]:[Category]],$A4,operations[[Month]:[Month]],J$1)</f>
        <v>-250</v>
      </c>
      <c r="K4" s="4">
        <f>SUMIFS(operations[[Amount]:[Amount]],operations[[Category]:[Category]],$A4,operations[[Month]:[Month]],K$1)</f>
        <v>-20</v>
      </c>
      <c r="L4" s="4">
        <f>SUMIFS(operations[[Amount]:[Amount]],operations[[Category]:[Category]],$A4,operations[[Month]:[Month]],L$1)</f>
        <v>-40</v>
      </c>
      <c r="M4" s="4">
        <f>SUMIFS(operations[[Amount]:[Amount]],operations[[Category]:[Category]],$A4,operations[[Month]:[Month]],M$1)</f>
        <v>-214</v>
      </c>
      <c r="N4" s="4">
        <f>SUMIFS(operations[[Amount]:[Amount]],operations[[Category]:[Category]],$A4,operations[[Month]:[Month]],N$1)</f>
        <v>-450</v>
      </c>
    </row>
    <row r="5" spans="1:14" outlineLevel="2" x14ac:dyDescent="0.25">
      <c r="A5" t="s">
        <v>17</v>
      </c>
      <c r="B5" t="s">
        <v>32</v>
      </c>
      <c r="C5" s="4">
        <f>SUMIFS(operations[[Amount]:[Amount]],operations[[Category]:[Category]],$A5,operations[[Month]:[Month]],C$1)</f>
        <v>-1715</v>
      </c>
      <c r="D5" s="4">
        <f>SUMIFS(operations[[Amount]:[Amount]],operations[[Category]:[Category]],$A5,operations[[Month]:[Month]],D$1)</f>
        <v>-405.5</v>
      </c>
      <c r="E5" s="4">
        <f>SUMIFS(operations[[Amount]:[Amount]],operations[[Category]:[Category]],$A5,operations[[Month]:[Month]],E$1)</f>
        <v>-734.99</v>
      </c>
      <c r="F5" s="4">
        <f>SUMIFS(operations[[Amount]:[Amount]],operations[[Category]:[Category]],$A5,operations[[Month]:[Month]],F$1)</f>
        <v>-372.26</v>
      </c>
      <c r="G5" s="4">
        <f>SUMIFS(operations[[Amount]:[Amount]],operations[[Category]:[Category]],$A5,operations[[Month]:[Month]],G$1)</f>
        <v>-1000</v>
      </c>
      <c r="H5" s="4">
        <f>SUMIFS(operations[[Amount]:[Amount]],operations[[Category]:[Category]],$A5,operations[[Month]:[Month]],H$1)</f>
        <v>-1000</v>
      </c>
      <c r="I5" s="4">
        <f>SUMIFS(operations[[Amount]:[Amount]],operations[[Category]:[Category]],$A5,operations[[Month]:[Month]],I$1)</f>
        <v>-165</v>
      </c>
      <c r="J5" s="4">
        <f>SUMIFS(operations[[Amount]:[Amount]],operations[[Category]:[Category]],$A5,operations[[Month]:[Month]],J$1)</f>
        <v>-749.5</v>
      </c>
      <c r="K5" s="4">
        <f>SUMIFS(operations[[Amount]:[Amount]],operations[[Category]:[Category]],$A5,operations[[Month]:[Month]],K$1)</f>
        <v>-538.5</v>
      </c>
      <c r="L5" s="4">
        <f>SUMIFS(operations[[Amount]:[Amount]],operations[[Category]:[Category]],$A5,operations[[Month]:[Month]],L$1)</f>
        <v>-600</v>
      </c>
      <c r="M5" s="4">
        <f>SUMIFS(operations[[Amount]:[Amount]],operations[[Category]:[Category]],$A5,operations[[Month]:[Month]],M$1)</f>
        <v>-506</v>
      </c>
      <c r="N5" s="4">
        <f>SUMIFS(operations[[Amount]:[Amount]],operations[[Category]:[Category]],$A5,operations[[Month]:[Month]],N$1)</f>
        <v>-700</v>
      </c>
    </row>
    <row r="6" spans="1:14" outlineLevel="2" x14ac:dyDescent="0.25">
      <c r="A6" t="s">
        <v>21</v>
      </c>
      <c r="B6" t="s">
        <v>32</v>
      </c>
      <c r="C6" s="4">
        <f>SUMIFS(operations[[Amount]:[Amount]],operations[[Category]:[Category]],$A6,operations[[Month]:[Month]],C$1)</f>
        <v>-100</v>
      </c>
      <c r="D6" s="4">
        <f>SUMIFS(operations[[Amount]:[Amount]],operations[[Category]:[Category]],$A6,operations[[Month]:[Month]],D$1)</f>
        <v>-250</v>
      </c>
      <c r="E6" s="4">
        <f>SUMIFS(operations[[Amount]:[Amount]],operations[[Category]:[Category]],$A6,operations[[Month]:[Month]],E$1)</f>
        <v>-9.5</v>
      </c>
      <c r="F6" s="4">
        <f>SUMIFS(operations[[Amount]:[Amount]],operations[[Category]:[Category]],$A6,operations[[Month]:[Month]],F$1)</f>
        <v>-23.5</v>
      </c>
      <c r="G6" s="4">
        <f>SUMIFS(operations[[Amount]:[Amount]],operations[[Category]:[Category]],$A6,operations[[Month]:[Month]],G$1)</f>
        <v>0</v>
      </c>
      <c r="H6" s="4">
        <f>SUMIFS(operations[[Amount]:[Amount]],operations[[Category]:[Category]],$A6,operations[[Month]:[Month]],H$1)</f>
        <v>-100</v>
      </c>
      <c r="I6" s="4">
        <f>SUMIFS(operations[[Amount]:[Amount]],operations[[Category]:[Category]],$A6,operations[[Month]:[Month]],I$1)</f>
        <v>-300</v>
      </c>
      <c r="J6" s="4">
        <f>SUMIFS(operations[[Amount]:[Amount]],operations[[Category]:[Category]],$A6,operations[[Month]:[Month]],J$1)</f>
        <v>-400</v>
      </c>
      <c r="K6" s="4">
        <f>SUMIFS(operations[[Amount]:[Amount]],operations[[Category]:[Category]],$A6,operations[[Month]:[Month]],K$1)</f>
        <v>0</v>
      </c>
      <c r="L6" s="4">
        <f>SUMIFS(operations[[Amount]:[Amount]],operations[[Category]:[Category]],$A6,operations[[Month]:[Month]],L$1)</f>
        <v>0</v>
      </c>
      <c r="M6" s="4">
        <f>SUMIFS(operations[[Amount]:[Amount]],operations[[Category]:[Category]],$A6,operations[[Month]:[Month]],M$1)</f>
        <v>-133</v>
      </c>
      <c r="N6" s="4">
        <f>SUMIFS(operations[[Amount]:[Amount]],operations[[Category]:[Category]],$A6,operations[[Month]:[Month]],N$1)</f>
        <v>-10</v>
      </c>
    </row>
    <row r="7" spans="1:14" outlineLevel="2" x14ac:dyDescent="0.25">
      <c r="A7" t="s">
        <v>19</v>
      </c>
      <c r="B7" t="s">
        <v>32</v>
      </c>
      <c r="C7" s="4">
        <f>SUMIFS(operations[[Amount]:[Amount]],operations[[Category]:[Category]],$A7,operations[[Month]:[Month]],C$1)</f>
        <v>-150</v>
      </c>
      <c r="D7" s="4">
        <f>SUMIFS(operations[[Amount]:[Amount]],operations[[Category]:[Category]],$A7,operations[[Month]:[Month]],D$1)</f>
        <v>-150</v>
      </c>
      <c r="E7" s="4">
        <f>SUMIFS(operations[[Amount]:[Amount]],operations[[Category]:[Category]],$A7,operations[[Month]:[Month]],E$1)</f>
        <v>-23</v>
      </c>
      <c r="F7" s="4">
        <f>SUMIFS(operations[[Amount]:[Amount]],operations[[Category]:[Category]],$A7,operations[[Month]:[Month]],F$1)</f>
        <v>-49</v>
      </c>
      <c r="G7" s="4">
        <f>SUMIFS(operations[[Amount]:[Amount]],operations[[Category]:[Category]],$A7,operations[[Month]:[Month]],G$1)</f>
        <v>-50</v>
      </c>
      <c r="H7" s="4">
        <f>SUMIFS(operations[[Amount]:[Amount]],operations[[Category]:[Category]],$A7,operations[[Month]:[Month]],H$1)</f>
        <v>-50</v>
      </c>
      <c r="I7" s="4">
        <f>SUMIFS(operations[[Amount]:[Amount]],operations[[Category]:[Category]],$A7,operations[[Month]:[Month]],I$1)</f>
        <v>0</v>
      </c>
      <c r="J7" s="4">
        <f>SUMIFS(operations[[Amount]:[Amount]],operations[[Category]:[Category]],$A7,operations[[Month]:[Month]],J$1)</f>
        <v>0</v>
      </c>
      <c r="K7" s="4">
        <f>SUMIFS(operations[[Amount]:[Amount]],operations[[Category]:[Category]],$A7,operations[[Month]:[Month]],K$1)</f>
        <v>-40</v>
      </c>
      <c r="L7" s="4">
        <f>SUMIFS(operations[[Amount]:[Amount]],operations[[Category]:[Category]],$A7,operations[[Month]:[Month]],L$1)</f>
        <v>-40</v>
      </c>
      <c r="M7" s="4">
        <f>SUMIFS(operations[[Amount]:[Amount]],operations[[Category]:[Category]],$A7,operations[[Month]:[Month]],M$1)</f>
        <v>-47</v>
      </c>
      <c r="N7" s="4">
        <f>SUMIFS(operations[[Amount]:[Amount]],operations[[Category]:[Category]],$A7,operations[[Month]:[Month]],N$1)</f>
        <v>0</v>
      </c>
    </row>
    <row r="8" spans="1:14" outlineLevel="2" x14ac:dyDescent="0.25">
      <c r="A8" t="s">
        <v>24</v>
      </c>
      <c r="B8" t="s">
        <v>32</v>
      </c>
      <c r="C8" s="4">
        <f>SUMIFS(operations[[Amount]:[Amount]],operations[[Category]:[Category]],$A8,operations[[Month]:[Month]],C$1)</f>
        <v>-500</v>
      </c>
      <c r="D8" s="4">
        <f>SUMIFS(operations[[Amount]:[Amount]],operations[[Category]:[Category]],$A8,operations[[Month]:[Month]],D$1)</f>
        <v>-765</v>
      </c>
      <c r="E8" s="4">
        <f>SUMIFS(operations[[Amount]:[Amount]],operations[[Category]:[Category]],$A8,operations[[Month]:[Month]],E$1)</f>
        <v>-300</v>
      </c>
      <c r="F8" s="4">
        <f>SUMIFS(operations[[Amount]:[Amount]],operations[[Category]:[Category]],$A8,operations[[Month]:[Month]],F$1)</f>
        <v>-100</v>
      </c>
      <c r="G8" s="4">
        <f>SUMIFS(operations[[Amount]:[Amount]],operations[[Category]:[Category]],$A8,operations[[Month]:[Month]],G$1)</f>
        <v>0</v>
      </c>
      <c r="H8" s="4">
        <f>SUMIFS(operations[[Amount]:[Amount]],operations[[Category]:[Category]],$A8,operations[[Month]:[Month]],H$1)</f>
        <v>0</v>
      </c>
      <c r="I8" s="4">
        <f>SUMIFS(operations[[Amount]:[Amount]],operations[[Category]:[Category]],$A8,operations[[Month]:[Month]],I$1)</f>
        <v>0</v>
      </c>
      <c r="J8" s="4">
        <f>SUMIFS(operations[[Amount]:[Amount]],operations[[Category]:[Category]],$A8,operations[[Month]:[Month]],J$1)</f>
        <v>0</v>
      </c>
      <c r="K8" s="4">
        <f>SUMIFS(operations[[Amount]:[Amount]],operations[[Category]:[Category]],$A8,operations[[Month]:[Month]],K$1)</f>
        <v>0</v>
      </c>
      <c r="L8" s="4">
        <f>SUMIFS(operations[[Amount]:[Amount]],operations[[Category]:[Category]],$A8,operations[[Month]:[Month]],L$1)</f>
        <v>0</v>
      </c>
      <c r="M8" s="4">
        <f>SUMIFS(operations[[Amount]:[Amount]],operations[[Category]:[Category]],$A8,operations[[Month]:[Month]],M$1)</f>
        <v>-234</v>
      </c>
      <c r="N8" s="4">
        <f>SUMIFS(operations[[Amount]:[Amount]],operations[[Category]:[Category]],$A8,operations[[Month]:[Month]],N$1)</f>
        <v>-700</v>
      </c>
    </row>
    <row r="9" spans="1:14" outlineLevel="2" x14ac:dyDescent="0.25">
      <c r="A9" t="s">
        <v>23</v>
      </c>
      <c r="B9" t="s">
        <v>32</v>
      </c>
      <c r="C9" s="4">
        <f>SUMIFS(operations[[Amount]:[Amount]],operations[[Category]:[Category]],$A9,operations[[Month]:[Month]],C$1)</f>
        <v>-100</v>
      </c>
      <c r="D9" s="4">
        <f>SUMIFS(operations[[Amount]:[Amount]],operations[[Category]:[Category]],$A9,operations[[Month]:[Month]],D$1)</f>
        <v>-100</v>
      </c>
      <c r="E9" s="4">
        <f>SUMIFS(operations[[Amount]:[Amount]],operations[[Category]:[Category]],$A9,operations[[Month]:[Month]],E$1)</f>
        <v>-79.5</v>
      </c>
      <c r="F9" s="4">
        <f>SUMIFS(operations[[Amount]:[Amount]],operations[[Category]:[Category]],$A9,operations[[Month]:[Month]],F$1)</f>
        <v>-139</v>
      </c>
      <c r="G9" s="4">
        <f>SUMIFS(operations[[Amount]:[Amount]],operations[[Category]:[Category]],$A9,operations[[Month]:[Month]],G$1)</f>
        <v>0</v>
      </c>
      <c r="H9" s="4">
        <f>SUMIFS(operations[[Amount]:[Amount]],operations[[Category]:[Category]],$A9,operations[[Month]:[Month]],H$1)</f>
        <v>0</v>
      </c>
      <c r="I9" s="4">
        <f>SUMIFS(operations[[Amount]:[Amount]],operations[[Category]:[Category]],$A9,operations[[Month]:[Month]],I$1)</f>
        <v>0</v>
      </c>
      <c r="J9" s="4">
        <f>SUMIFS(operations[[Amount]:[Amount]],operations[[Category]:[Category]],$A9,operations[[Month]:[Month]],J$1)</f>
        <v>0</v>
      </c>
      <c r="K9" s="4">
        <f>SUMIFS(operations[[Amount]:[Amount]],operations[[Category]:[Category]],$A9,operations[[Month]:[Month]],K$1)</f>
        <v>0</v>
      </c>
      <c r="L9" s="4">
        <f>SUMIFS(operations[[Amount]:[Amount]],operations[[Category]:[Category]],$A9,operations[[Month]:[Month]],L$1)</f>
        <v>0</v>
      </c>
      <c r="M9" s="4">
        <f>SUMIFS(operations[[Amount]:[Amount]],operations[[Category]:[Category]],$A9,operations[[Month]:[Month]],M$1)</f>
        <v>0</v>
      </c>
      <c r="N9" s="4">
        <f>SUMIFS(operations[[Amount]:[Amount]],operations[[Category]:[Category]],$A9,operations[[Month]:[Month]],N$1)</f>
        <v>-100</v>
      </c>
    </row>
    <row r="10" spans="1:14" outlineLevel="2" x14ac:dyDescent="0.25">
      <c r="A10" t="s">
        <v>16</v>
      </c>
      <c r="B10" t="s">
        <v>32</v>
      </c>
      <c r="C10" s="4">
        <f>SUMIFS(operations[[Amount]:[Amount]],operations[[Category]:[Category]],$A10,operations[[Month]:[Month]],C$1)</f>
        <v>-80</v>
      </c>
      <c r="D10" s="4">
        <f>SUMIFS(operations[[Amount]:[Amount]],operations[[Category]:[Category]],$A10,operations[[Month]:[Month]],D$1)</f>
        <v>-80</v>
      </c>
      <c r="E10" s="4">
        <f>SUMIFS(operations[[Amount]:[Amount]],operations[[Category]:[Category]],$A10,operations[[Month]:[Month]],E$1)</f>
        <v>-82.5</v>
      </c>
      <c r="F10" s="4">
        <f>SUMIFS(operations[[Amount]:[Amount]],operations[[Category]:[Category]],$A10,operations[[Month]:[Month]],F$1)</f>
        <v>-82.5</v>
      </c>
      <c r="G10" s="4">
        <f>SUMIFS(operations[[Amount]:[Amount]],operations[[Category]:[Category]],$A10,operations[[Month]:[Month]],G$1)</f>
        <v>-80</v>
      </c>
      <c r="H10" s="4">
        <f>SUMIFS(operations[[Amount]:[Amount]],operations[[Category]:[Category]],$A10,operations[[Month]:[Month]],H$1)</f>
        <v>-80</v>
      </c>
      <c r="I10" s="4">
        <f>SUMIFS(operations[[Amount]:[Amount]],operations[[Category]:[Category]],$A10,operations[[Month]:[Month]],I$1)</f>
        <v>-90</v>
      </c>
      <c r="J10" s="4">
        <f>SUMIFS(operations[[Amount]:[Amount]],operations[[Category]:[Category]],$A10,operations[[Month]:[Month]],J$1)</f>
        <v>-290</v>
      </c>
      <c r="K10" s="4">
        <f>SUMIFS(operations[[Amount]:[Amount]],operations[[Category]:[Category]],$A10,operations[[Month]:[Month]],K$1)</f>
        <v>-150</v>
      </c>
      <c r="L10" s="4">
        <f>SUMIFS(operations[[Amount]:[Amount]],operations[[Category]:[Category]],$A10,operations[[Month]:[Month]],L$1)</f>
        <v>-150</v>
      </c>
      <c r="M10" s="4">
        <f>SUMIFS(operations[[Amount]:[Amount]],operations[[Category]:[Category]],$A10,operations[[Month]:[Month]],M$1)</f>
        <v>-208</v>
      </c>
      <c r="N10" s="4">
        <f>SUMIFS(operations[[Amount]:[Amount]],operations[[Category]:[Category]],$A10,operations[[Month]:[Month]],N$1)</f>
        <v>0</v>
      </c>
    </row>
    <row r="11" spans="1:14" outlineLevel="1" x14ac:dyDescent="0.25">
      <c r="B11" s="10" t="s">
        <v>50</v>
      </c>
      <c r="C11" s="4">
        <f>SUBTOTAL(9,C2:C10)</f>
        <v>-4810</v>
      </c>
      <c r="D11" s="4">
        <f>SUBTOTAL(9,D2:D10)</f>
        <v>-4100.5</v>
      </c>
      <c r="E11" s="4">
        <f>SUBTOTAL(9,E2:E10)</f>
        <v>-3899.3900000000003</v>
      </c>
      <c r="F11" s="4">
        <f>SUBTOTAL(9,F2:F10)</f>
        <v>-3973.16</v>
      </c>
      <c r="G11" s="4">
        <f>SUBTOTAL(9,G2:G10)</f>
        <v>-3210</v>
      </c>
      <c r="H11" s="4">
        <f>SUBTOTAL(9,H2:H10)</f>
        <v>-3730</v>
      </c>
      <c r="I11" s="4">
        <f>SUBTOTAL(9,I2:I10)</f>
        <v>-3005</v>
      </c>
      <c r="J11" s="4">
        <f>SUBTOTAL(9,J2:J10)</f>
        <v>-3989.5</v>
      </c>
      <c r="K11" s="4">
        <f>SUBTOTAL(9,K2:K10)</f>
        <v>-2748.5</v>
      </c>
      <c r="L11" s="4">
        <f>SUBTOTAL(9,L2:L10)</f>
        <v>-2830</v>
      </c>
      <c r="M11" s="4">
        <f>SUBTOTAL(9,M2:M10)</f>
        <v>-3500</v>
      </c>
      <c r="N11" s="4">
        <f>SUBTOTAL(9,N2:N10)</f>
        <v>-4080</v>
      </c>
    </row>
    <row r="12" spans="1:14" outlineLevel="2" x14ac:dyDescent="0.25">
      <c r="A12" t="s">
        <v>25</v>
      </c>
      <c r="B12" t="s">
        <v>33</v>
      </c>
      <c r="C12" s="4">
        <f>SUMIFS(operations[[Amount]:[Amount]],operations[[Category]:[Category]],$A12,operations[[Month]:[Month]],C$1)</f>
        <v>250</v>
      </c>
      <c r="D12" s="4">
        <f>SUMIFS(operations[[Amount]:[Amount]],operations[[Category]:[Category]],$A12,operations[[Month]:[Month]],D$1)</f>
        <v>0</v>
      </c>
      <c r="E12" s="4">
        <f>SUMIFS(operations[[Amount]:[Amount]],operations[[Category]:[Category]],$A12,operations[[Month]:[Month]],E$1)</f>
        <v>0</v>
      </c>
      <c r="F12" s="4">
        <f>SUMIFS(operations[[Amount]:[Amount]],operations[[Category]:[Category]],$A12,operations[[Month]:[Month]],F$1)</f>
        <v>0</v>
      </c>
      <c r="G12" s="4">
        <f>SUMIFS(operations[[Amount]:[Amount]],operations[[Category]:[Category]],$A12,operations[[Month]:[Month]],G$1)</f>
        <v>0</v>
      </c>
      <c r="H12" s="4">
        <f>SUMIFS(operations[[Amount]:[Amount]],operations[[Category]:[Category]],$A12,operations[[Month]:[Month]],H$1)</f>
        <v>400</v>
      </c>
      <c r="I12" s="4">
        <f>SUMIFS(operations[[Amount]:[Amount]],operations[[Category]:[Category]],$A12,operations[[Month]:[Month]],I$1)</f>
        <v>0</v>
      </c>
      <c r="J12" s="4">
        <f>SUMIFS(operations[[Amount]:[Amount]],operations[[Category]:[Category]],$A12,operations[[Month]:[Month]],J$1)</f>
        <v>0</v>
      </c>
      <c r="K12" s="4">
        <f>SUMIFS(operations[[Amount]:[Amount]],operations[[Category]:[Category]],$A12,operations[[Month]:[Month]],K$1)</f>
        <v>0</v>
      </c>
      <c r="L12" s="4">
        <f>SUMIFS(operations[[Amount]:[Amount]],operations[[Category]:[Category]],$A12,operations[[Month]:[Month]],L$1)</f>
        <v>0</v>
      </c>
      <c r="M12" s="4">
        <f>SUMIFS(operations[[Amount]:[Amount]],operations[[Category]:[Category]],$A12,operations[[Month]:[Month]],M$1)</f>
        <v>0</v>
      </c>
      <c r="N12" s="4">
        <f>SUMIFS(operations[[Amount]:[Amount]],operations[[Category]:[Category]],$A12,operations[[Month]:[Month]],N$1)</f>
        <v>0</v>
      </c>
    </row>
    <row r="13" spans="1:14" outlineLevel="2" x14ac:dyDescent="0.25">
      <c r="A13" t="s">
        <v>28</v>
      </c>
      <c r="B13" t="s">
        <v>33</v>
      </c>
      <c r="C13" s="4">
        <f>SUMIFS(operations[[Amount]:[Amount]],operations[[Category]:[Category]],$A13,operations[[Month]:[Month]],C$1)</f>
        <v>105.5</v>
      </c>
      <c r="D13" s="4">
        <f>SUMIFS(operations[[Amount]:[Amount]],operations[[Category]:[Category]],$A13,operations[[Month]:[Month]],D$1)</f>
        <v>115</v>
      </c>
      <c r="E13" s="4">
        <f>SUMIFS(operations[[Amount]:[Amount]],operations[[Category]:[Category]],$A13,operations[[Month]:[Month]],E$1)</f>
        <v>150</v>
      </c>
      <c r="F13" s="4">
        <f>SUMIFS(operations[[Amount]:[Amount]],operations[[Category]:[Category]],$A13,operations[[Month]:[Month]],F$1)</f>
        <v>150</v>
      </c>
      <c r="G13" s="4">
        <f>SUMIFS(operations[[Amount]:[Amount]],operations[[Category]:[Category]],$A13,operations[[Month]:[Month]],G$1)</f>
        <v>0</v>
      </c>
      <c r="H13" s="4">
        <f>SUMIFS(operations[[Amount]:[Amount]],operations[[Category]:[Category]],$A13,operations[[Month]:[Month]],H$1)</f>
        <v>0</v>
      </c>
      <c r="I13" s="4">
        <f>SUMIFS(operations[[Amount]:[Amount]],operations[[Category]:[Category]],$A13,operations[[Month]:[Month]],I$1)</f>
        <v>120</v>
      </c>
      <c r="J13" s="4">
        <f>SUMIFS(operations[[Amount]:[Amount]],operations[[Category]:[Category]],$A13,operations[[Month]:[Month]],J$1)</f>
        <v>0</v>
      </c>
      <c r="K13" s="4">
        <f>SUMIFS(operations[[Amount]:[Amount]],operations[[Category]:[Category]],$A13,operations[[Month]:[Month]],K$1)</f>
        <v>0</v>
      </c>
      <c r="L13" s="4">
        <f>SUMIFS(operations[[Amount]:[Amount]],operations[[Category]:[Category]],$A13,operations[[Month]:[Month]],L$1)</f>
        <v>0</v>
      </c>
      <c r="M13" s="4">
        <f>SUMIFS(operations[[Amount]:[Amount]],operations[[Category]:[Category]],$A13,operations[[Month]:[Month]],M$1)</f>
        <v>0</v>
      </c>
      <c r="N13" s="4">
        <f>SUMIFS(operations[[Amount]:[Amount]],operations[[Category]:[Category]],$A13,operations[[Month]:[Month]],N$1)</f>
        <v>0</v>
      </c>
    </row>
    <row r="14" spans="1:14" outlineLevel="2" x14ac:dyDescent="0.25">
      <c r="A14" t="s">
        <v>29</v>
      </c>
      <c r="B14" t="s">
        <v>33</v>
      </c>
      <c r="C14" s="4">
        <f>SUMIFS(operations[[Amount]:[Amount]],operations[[Category]:[Category]],$A14,operations[[Month]:[Month]],C$1)</f>
        <v>0</v>
      </c>
      <c r="D14" s="4">
        <f>SUMIFS(operations[[Amount]:[Amount]],operations[[Category]:[Category]],$A14,operations[[Month]:[Month]],D$1)</f>
        <v>0</v>
      </c>
      <c r="E14" s="4">
        <f>SUMIFS(operations[[Amount]:[Amount]],operations[[Category]:[Category]],$A14,operations[[Month]:[Month]],E$1)</f>
        <v>5</v>
      </c>
      <c r="F14" s="4">
        <f>SUMIFS(operations[[Amount]:[Amount]],operations[[Category]:[Category]],$A14,operations[[Month]:[Month]],F$1)</f>
        <v>50</v>
      </c>
      <c r="G14" s="4">
        <f>SUMIFS(operations[[Amount]:[Amount]],operations[[Category]:[Category]],$A14,operations[[Month]:[Month]],G$1)</f>
        <v>0</v>
      </c>
      <c r="H14" s="4">
        <f>SUMIFS(operations[[Amount]:[Amount]],operations[[Category]:[Category]],$A14,operations[[Month]:[Month]],H$1)</f>
        <v>0</v>
      </c>
      <c r="I14" s="4">
        <f>SUMIFS(operations[[Amount]:[Amount]],operations[[Category]:[Category]],$A14,operations[[Month]:[Month]],I$1)</f>
        <v>800</v>
      </c>
      <c r="J14" s="4">
        <f>SUMIFS(operations[[Amount]:[Amount]],operations[[Category]:[Category]],$A14,operations[[Month]:[Month]],J$1)</f>
        <v>400</v>
      </c>
      <c r="K14" s="4">
        <f>SUMIFS(operations[[Amount]:[Amount]],operations[[Category]:[Category]],$A14,operations[[Month]:[Month]],K$1)</f>
        <v>0</v>
      </c>
      <c r="L14" s="4">
        <f>SUMIFS(operations[[Amount]:[Amount]],operations[[Category]:[Category]],$A14,operations[[Month]:[Month]],L$1)</f>
        <v>0</v>
      </c>
      <c r="M14" s="4">
        <f>SUMIFS(operations[[Amount]:[Amount]],operations[[Category]:[Category]],$A14,operations[[Month]:[Month]],M$1)</f>
        <v>400</v>
      </c>
      <c r="N14" s="4">
        <f>SUMIFS(operations[[Amount]:[Amount]],operations[[Category]:[Category]],$A14,operations[[Month]:[Month]],N$1)</f>
        <v>2000</v>
      </c>
    </row>
    <row r="15" spans="1:14" outlineLevel="2" x14ac:dyDescent="0.25">
      <c r="A15" t="s">
        <v>30</v>
      </c>
      <c r="B15" t="s">
        <v>33</v>
      </c>
      <c r="C15" s="4">
        <f>SUMIFS(operations[[Amount]:[Amount]],operations[[Category]:[Category]],$A15,operations[[Month]:[Month]],C$1)</f>
        <v>800</v>
      </c>
      <c r="D15" s="4">
        <f>SUMIFS(operations[[Amount]:[Amount]],operations[[Category]:[Category]],$A15,operations[[Month]:[Month]],D$1)</f>
        <v>1950</v>
      </c>
      <c r="E15" s="4">
        <f>SUMIFS(operations[[Amount]:[Amount]],operations[[Category]:[Category]],$A15,operations[[Month]:[Month]],E$1)</f>
        <v>0</v>
      </c>
      <c r="F15" s="4">
        <f>SUMIFS(operations[[Amount]:[Amount]],operations[[Category]:[Category]],$A15,operations[[Month]:[Month]],F$1)</f>
        <v>0</v>
      </c>
      <c r="G15" s="4">
        <f>SUMIFS(operations[[Amount]:[Amount]],operations[[Category]:[Category]],$A15,operations[[Month]:[Month]],G$1)</f>
        <v>0</v>
      </c>
      <c r="H15" s="4">
        <f>SUMIFS(operations[[Amount]:[Amount]],operations[[Category]:[Category]],$A15,operations[[Month]:[Month]],H$1)</f>
        <v>0</v>
      </c>
      <c r="I15" s="4">
        <f>SUMIFS(operations[[Amount]:[Amount]],operations[[Category]:[Category]],$A15,operations[[Month]:[Month]],I$1)</f>
        <v>0</v>
      </c>
      <c r="J15" s="4">
        <f>SUMIFS(operations[[Amount]:[Amount]],operations[[Category]:[Category]],$A15,operations[[Month]:[Month]],J$1)</f>
        <v>0</v>
      </c>
      <c r="K15" s="4">
        <f>SUMIFS(operations[[Amount]:[Amount]],operations[[Category]:[Category]],$A15,operations[[Month]:[Month]],K$1)</f>
        <v>0</v>
      </c>
      <c r="L15" s="4">
        <f>SUMIFS(operations[[Amount]:[Amount]],operations[[Category]:[Category]],$A15,operations[[Month]:[Month]],L$1)</f>
        <v>0</v>
      </c>
      <c r="M15" s="4">
        <f>SUMIFS(operations[[Amount]:[Amount]],operations[[Category]:[Category]],$A15,operations[[Month]:[Month]],M$1)</f>
        <v>0</v>
      </c>
      <c r="N15" s="4">
        <f>SUMIFS(operations[[Amount]:[Amount]],operations[[Category]:[Category]],$A15,operations[[Month]:[Month]],N$1)</f>
        <v>0</v>
      </c>
    </row>
    <row r="16" spans="1:14" outlineLevel="2" x14ac:dyDescent="0.25">
      <c r="A16" t="s">
        <v>26</v>
      </c>
      <c r="B16" t="s">
        <v>33</v>
      </c>
      <c r="C16" s="4">
        <f>SUMIFS(operations[[Amount]:[Amount]],operations[[Category]:[Category]],$A16,operations[[Month]:[Month]],C$1)</f>
        <v>4500</v>
      </c>
      <c r="D16" s="4">
        <f>SUMIFS(operations[[Amount]:[Amount]],operations[[Category]:[Category]],$A16,operations[[Month]:[Month]],D$1)</f>
        <v>4500</v>
      </c>
      <c r="E16" s="4">
        <f>SUMIFS(operations[[Amount]:[Amount]],operations[[Category]:[Category]],$A16,operations[[Month]:[Month]],E$1)</f>
        <v>4500</v>
      </c>
      <c r="F16" s="4">
        <f>SUMIFS(operations[[Amount]:[Amount]],operations[[Category]:[Category]],$A16,operations[[Month]:[Month]],F$1)</f>
        <v>4500</v>
      </c>
      <c r="G16" s="4">
        <f>SUMIFS(operations[[Amount]:[Amount]],operations[[Category]:[Category]],$A16,operations[[Month]:[Month]],G$1)</f>
        <v>4500</v>
      </c>
      <c r="H16" s="4">
        <f>SUMIFS(operations[[Amount]:[Amount]],operations[[Category]:[Category]],$A16,operations[[Month]:[Month]],H$1)</f>
        <v>4500</v>
      </c>
      <c r="I16" s="4">
        <f>SUMIFS(operations[[Amount]:[Amount]],operations[[Category]:[Category]],$A16,operations[[Month]:[Month]],I$1)</f>
        <v>4500</v>
      </c>
      <c r="J16" s="4">
        <f>SUMIFS(operations[[Amount]:[Amount]],operations[[Category]:[Category]],$A16,operations[[Month]:[Month]],J$1)</f>
        <v>4500</v>
      </c>
      <c r="K16" s="4">
        <f>SUMIFS(operations[[Amount]:[Amount]],operations[[Category]:[Category]],$A16,operations[[Month]:[Month]],K$1)</f>
        <v>4500</v>
      </c>
      <c r="L16" s="4">
        <f>SUMIFS(operations[[Amount]:[Amount]],operations[[Category]:[Category]],$A16,operations[[Month]:[Month]],L$1)</f>
        <v>4500</v>
      </c>
      <c r="M16" s="4">
        <f>SUMIFS(operations[[Amount]:[Amount]],operations[[Category]:[Category]],$A16,operations[[Month]:[Month]],M$1)</f>
        <v>4500</v>
      </c>
      <c r="N16" s="4">
        <f>SUMIFS(operations[[Amount]:[Amount]],operations[[Category]:[Category]],$A16,operations[[Month]:[Month]],N$1)</f>
        <v>4500</v>
      </c>
    </row>
    <row r="17" spans="1:14" outlineLevel="2" x14ac:dyDescent="0.25">
      <c r="A17" t="s">
        <v>27</v>
      </c>
      <c r="B17" t="s">
        <v>33</v>
      </c>
      <c r="C17" s="4">
        <f>SUMIFS(operations[[Amount]:[Amount]],operations[[Category]:[Category]],$A17,operations[[Month]:[Month]],C$1)</f>
        <v>0</v>
      </c>
      <c r="D17" s="4">
        <f>SUMIFS(operations[[Amount]:[Amount]],operations[[Category]:[Category]],$A17,operations[[Month]:[Month]],D$1)</f>
        <v>0</v>
      </c>
      <c r="E17" s="4">
        <f>SUMIFS(operations[[Amount]:[Amount]],operations[[Category]:[Category]],$A17,operations[[Month]:[Month]],E$1)</f>
        <v>0</v>
      </c>
      <c r="F17" s="4">
        <f>SUMIFS(operations[[Amount]:[Amount]],operations[[Category]:[Category]],$A17,operations[[Month]:[Month]],F$1)</f>
        <v>0</v>
      </c>
      <c r="G17" s="4">
        <f>SUMIFS(operations[[Amount]:[Amount]],operations[[Category]:[Category]],$A17,operations[[Month]:[Month]],G$1)</f>
        <v>0</v>
      </c>
      <c r="H17" s="4">
        <f>SUMIFS(operations[[Amount]:[Amount]],operations[[Category]:[Category]],$A17,operations[[Month]:[Month]],H$1)</f>
        <v>0</v>
      </c>
      <c r="I17" s="4">
        <f>SUMIFS(operations[[Amount]:[Amount]],operations[[Category]:[Category]],$A17,operations[[Month]:[Month]],I$1)</f>
        <v>500</v>
      </c>
      <c r="J17" s="4">
        <f>SUMIFS(operations[[Amount]:[Amount]],operations[[Category]:[Category]],$A17,operations[[Month]:[Month]],J$1)</f>
        <v>500</v>
      </c>
      <c r="K17" s="4">
        <f>SUMIFS(operations[[Amount]:[Amount]],operations[[Category]:[Category]],$A17,operations[[Month]:[Month]],K$1)</f>
        <v>0</v>
      </c>
      <c r="L17" s="4">
        <f>SUMIFS(operations[[Amount]:[Amount]],operations[[Category]:[Category]],$A17,operations[[Month]:[Month]],L$1)</f>
        <v>0</v>
      </c>
      <c r="M17" s="4">
        <f>SUMIFS(operations[[Amount]:[Amount]],operations[[Category]:[Category]],$A17,operations[[Month]:[Month]],M$1)</f>
        <v>0</v>
      </c>
      <c r="N17" s="4">
        <f>SUMIFS(operations[[Amount]:[Amount]],operations[[Category]:[Category]],$A17,operations[[Month]:[Month]],N$1)</f>
        <v>0</v>
      </c>
    </row>
    <row r="18" spans="1:14" outlineLevel="1" x14ac:dyDescent="0.25">
      <c r="B18" s="11" t="s">
        <v>51</v>
      </c>
      <c r="C18" s="4">
        <f>SUBTOTAL(9,C12:C17)</f>
        <v>5655.5</v>
      </c>
      <c r="D18" s="4">
        <f>SUBTOTAL(9,D12:D17)</f>
        <v>6565</v>
      </c>
      <c r="E18" s="4">
        <f>SUBTOTAL(9,E12:E17)</f>
        <v>4655</v>
      </c>
      <c r="F18" s="4">
        <f>SUBTOTAL(9,F12:F17)</f>
        <v>4700</v>
      </c>
      <c r="G18" s="4">
        <f>SUBTOTAL(9,G12:G17)</f>
        <v>4500</v>
      </c>
      <c r="H18" s="4">
        <f>SUBTOTAL(9,H12:H17)</f>
        <v>4900</v>
      </c>
      <c r="I18" s="4">
        <f>SUBTOTAL(9,I12:I17)</f>
        <v>5920</v>
      </c>
      <c r="J18" s="4">
        <f>SUBTOTAL(9,J12:J17)</f>
        <v>5400</v>
      </c>
      <c r="K18" s="4">
        <f>SUBTOTAL(9,K12:K17)</f>
        <v>4500</v>
      </c>
      <c r="L18" s="4">
        <f>SUBTOTAL(9,L12:L17)</f>
        <v>4500</v>
      </c>
      <c r="M18" s="4">
        <f>SUBTOTAL(9,M12:M17)</f>
        <v>4900</v>
      </c>
      <c r="N18" s="4">
        <f>SUBTOTAL(9,N12:N17)</f>
        <v>6500</v>
      </c>
    </row>
    <row r="19" spans="1:14" outlineLevel="2" x14ac:dyDescent="0.25">
      <c r="A19" t="s">
        <v>31</v>
      </c>
      <c r="B19" t="s">
        <v>31</v>
      </c>
      <c r="C19" s="4">
        <f>SUMIFS(operations[[Amount]:[Amount]],operations[[Category]:[Category]],$A19,operations[[Month]:[Month]],C$1)</f>
        <v>0</v>
      </c>
      <c r="D19" s="4">
        <f>SUMIFS(operations[[Amount]:[Amount]],operations[[Category]:[Category]],$A19,operations[[Month]:[Month]],D$1)</f>
        <v>0</v>
      </c>
      <c r="E19" s="4">
        <f>SUMIFS(operations[[Amount]:[Amount]],operations[[Category]:[Category]],$A19,operations[[Month]:[Month]],E$1)</f>
        <v>0</v>
      </c>
      <c r="F19" s="4">
        <f>SUMIFS(operations[[Amount]:[Amount]],operations[[Category]:[Category]],$A19,operations[[Month]:[Month]],F$1)</f>
        <v>0</v>
      </c>
      <c r="G19" s="4">
        <f>SUMIFS(operations[[Amount]:[Amount]],operations[[Category]:[Category]],$A19,operations[[Month]:[Month]],G$1)</f>
        <v>0</v>
      </c>
      <c r="H19" s="4">
        <f>SUMIFS(operations[[Amount]:[Amount]],operations[[Category]:[Category]],$A19,operations[[Month]:[Month]],H$1)</f>
        <v>0</v>
      </c>
      <c r="I19" s="4">
        <f>SUMIFS(operations[[Amount]:[Amount]],operations[[Category]:[Category]],$A19,operations[[Month]:[Month]],I$1)</f>
        <v>0</v>
      </c>
      <c r="J19" s="4">
        <f>SUMIFS(operations[[Amount]:[Amount]],operations[[Category]:[Category]],$A19,operations[[Month]:[Month]],J$1)</f>
        <v>-1020</v>
      </c>
      <c r="K19" s="4">
        <f>SUMIFS(operations[[Amount]:[Amount]],operations[[Category]:[Category]],$A19,operations[[Month]:[Month]],K$1)</f>
        <v>0</v>
      </c>
      <c r="L19" s="4">
        <f>SUMIFS(operations[[Amount]:[Amount]],operations[[Category]:[Category]],$A19,operations[[Month]:[Month]],L$1)</f>
        <v>0</v>
      </c>
      <c r="M19" s="4">
        <f>SUMIFS(operations[[Amount]:[Amount]],operations[[Category]:[Category]],$A19,operations[[Month]:[Month]],M$1)</f>
        <v>0</v>
      </c>
      <c r="N19" s="4">
        <f>SUMIFS(operations[[Amount]:[Amount]],operations[[Category]:[Category]],$A19,operations[[Month]:[Month]],N$1)</f>
        <v>0</v>
      </c>
    </row>
    <row r="20" spans="1:14" outlineLevel="1" x14ac:dyDescent="0.25">
      <c r="B20" s="11" t="s">
        <v>52</v>
      </c>
      <c r="C20" s="4">
        <f>SUBTOTAL(9,C19:C19)</f>
        <v>0</v>
      </c>
      <c r="D20" s="4">
        <f>SUBTOTAL(9,D19:D19)</f>
        <v>0</v>
      </c>
      <c r="E20" s="4">
        <f>SUBTOTAL(9,E19:E19)</f>
        <v>0</v>
      </c>
      <c r="F20" s="4">
        <f>SUBTOTAL(9,F19:F19)</f>
        <v>0</v>
      </c>
      <c r="G20" s="4">
        <f>SUBTOTAL(9,G19:G19)</f>
        <v>0</v>
      </c>
      <c r="H20" s="4">
        <f>SUBTOTAL(9,H19:H19)</f>
        <v>0</v>
      </c>
      <c r="I20" s="4">
        <f>SUBTOTAL(9,I19:I19)</f>
        <v>0</v>
      </c>
      <c r="J20" s="4">
        <f>SUBTOTAL(9,J19:J19)</f>
        <v>-1020</v>
      </c>
      <c r="K20" s="4">
        <f>SUBTOTAL(9,K19:K19)</f>
        <v>0</v>
      </c>
      <c r="L20" s="4">
        <f>SUBTOTAL(9,L19:L19)</f>
        <v>0</v>
      </c>
      <c r="M20" s="4">
        <f>SUBTOTAL(9,M19:M19)</f>
        <v>0</v>
      </c>
      <c r="N20" s="4">
        <f>SUBTOTAL(9,N19:N19)</f>
        <v>0</v>
      </c>
    </row>
    <row r="21" spans="1:14" x14ac:dyDescent="0.25">
      <c r="B21" s="11" t="s">
        <v>53</v>
      </c>
      <c r="C21" s="4">
        <f>SUBTOTAL(9,C2:C19)</f>
        <v>845.5</v>
      </c>
      <c r="D21" s="4">
        <f>SUBTOTAL(9,D2:D19)</f>
        <v>2464.5</v>
      </c>
      <c r="E21" s="4">
        <f>SUBTOTAL(9,E2:E19)</f>
        <v>755.60999999999967</v>
      </c>
      <c r="F21" s="4">
        <f>SUBTOTAL(9,F2:F19)</f>
        <v>726.84000000000015</v>
      </c>
      <c r="G21" s="4">
        <f>SUBTOTAL(9,G2:G19)</f>
        <v>1290</v>
      </c>
      <c r="H21" s="4">
        <f>SUBTOTAL(9,H2:H19)</f>
        <v>1170</v>
      </c>
      <c r="I21" s="4">
        <f>SUBTOTAL(9,I2:I19)</f>
        <v>2915</v>
      </c>
      <c r="J21" s="4">
        <f>SUBTOTAL(9,J2:J19)</f>
        <v>390.5</v>
      </c>
      <c r="K21" s="4">
        <f>SUBTOTAL(9,K2:K19)</f>
        <v>1751.5</v>
      </c>
      <c r="L21" s="4">
        <f>SUBTOTAL(9,L2:L19)</f>
        <v>1670</v>
      </c>
      <c r="M21" s="4">
        <f>SUBTOTAL(9,M2:M19)</f>
        <v>1400</v>
      </c>
      <c r="N21" s="4">
        <f>SUBTOTAL(9,N2:N19)</f>
        <v>2420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9858-02E6-4481-995E-D7682AF8E7AD}">
  <dimension ref="A3:O9"/>
  <sheetViews>
    <sheetView workbookViewId="0">
      <selection activeCell="J8" sqref="J8"/>
    </sheetView>
  </sheetViews>
  <sheetFormatPr defaultRowHeight="15" x14ac:dyDescent="0.25"/>
  <cols>
    <col min="1" max="1" width="18.85546875" bestFit="1" customWidth="1"/>
    <col min="2" max="2" width="11.140625" bestFit="1" customWidth="1"/>
    <col min="3" max="14" width="10.7109375" bestFit="1" customWidth="1"/>
    <col min="15" max="15" width="11.7109375" bestFit="1" customWidth="1"/>
  </cols>
  <sheetData>
    <row r="3" spans="1:15" x14ac:dyDescent="0.25">
      <c r="A3" s="12" t="s">
        <v>54</v>
      </c>
      <c r="C3" s="12" t="s">
        <v>6</v>
      </c>
    </row>
    <row r="4" spans="1:15" x14ac:dyDescent="0.25">
      <c r="A4" s="12" t="s">
        <v>4</v>
      </c>
      <c r="B4" s="12" t="s">
        <v>3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 t="s">
        <v>53</v>
      </c>
    </row>
    <row r="5" spans="1:15" x14ac:dyDescent="0.25">
      <c r="A5" t="s">
        <v>32</v>
      </c>
      <c r="C5" s="13">
        <v>-4810</v>
      </c>
      <c r="D5" s="13">
        <v>-4100.5</v>
      </c>
      <c r="E5" s="13">
        <v>-3899.39</v>
      </c>
      <c r="F5" s="13">
        <v>-3973.16</v>
      </c>
      <c r="G5" s="13">
        <v>-3210</v>
      </c>
      <c r="H5" s="13">
        <v>-3730</v>
      </c>
      <c r="I5" s="13">
        <v>-3005</v>
      </c>
      <c r="J5" s="13">
        <v>-3989.5</v>
      </c>
      <c r="K5" s="13">
        <v>-2748.5</v>
      </c>
      <c r="L5" s="13">
        <v>-2830</v>
      </c>
      <c r="M5" s="13">
        <v>-3500</v>
      </c>
      <c r="N5" s="13">
        <v>-4080</v>
      </c>
      <c r="O5" s="13">
        <v>-43876.05</v>
      </c>
    </row>
    <row r="6" spans="1:15" x14ac:dyDescent="0.25">
      <c r="A6" t="s">
        <v>33</v>
      </c>
      <c r="C6" s="13">
        <v>5655.5</v>
      </c>
      <c r="D6" s="13">
        <v>6565</v>
      </c>
      <c r="E6" s="13">
        <v>4655</v>
      </c>
      <c r="F6" s="13">
        <v>4700</v>
      </c>
      <c r="G6" s="13">
        <v>4500</v>
      </c>
      <c r="H6" s="13">
        <v>4900</v>
      </c>
      <c r="I6" s="13">
        <v>5920</v>
      </c>
      <c r="J6" s="13">
        <v>5400</v>
      </c>
      <c r="K6" s="13">
        <v>4500</v>
      </c>
      <c r="L6" s="13">
        <v>4500</v>
      </c>
      <c r="M6" s="13">
        <v>4900</v>
      </c>
      <c r="N6" s="13">
        <v>6500</v>
      </c>
      <c r="O6" s="13">
        <v>62695.5</v>
      </c>
    </row>
    <row r="7" spans="1:15" x14ac:dyDescent="0.25">
      <c r="A7" t="s">
        <v>31</v>
      </c>
      <c r="B7" t="s">
        <v>31</v>
      </c>
      <c r="C7" s="13"/>
      <c r="D7" s="13">
        <v>0</v>
      </c>
      <c r="E7" s="13"/>
      <c r="F7" s="13">
        <v>0</v>
      </c>
      <c r="G7" s="13">
        <v>0</v>
      </c>
      <c r="H7" s="13">
        <v>0</v>
      </c>
      <c r="I7" s="13">
        <v>0</v>
      </c>
      <c r="J7" s="13">
        <v>-1020</v>
      </c>
      <c r="K7" s="13">
        <v>0</v>
      </c>
      <c r="L7" s="13">
        <v>0</v>
      </c>
      <c r="M7" s="13">
        <v>0</v>
      </c>
      <c r="N7" s="13"/>
      <c r="O7" s="13">
        <v>-1020</v>
      </c>
    </row>
    <row r="8" spans="1:15" x14ac:dyDescent="0.25">
      <c r="A8" t="s">
        <v>52</v>
      </c>
      <c r="C8" s="13"/>
      <c r="D8" s="13">
        <v>0</v>
      </c>
      <c r="E8" s="13"/>
      <c r="F8" s="13">
        <v>0</v>
      </c>
      <c r="G8" s="13">
        <v>0</v>
      </c>
      <c r="H8" s="13">
        <v>0</v>
      </c>
      <c r="I8" s="13">
        <v>0</v>
      </c>
      <c r="J8" s="13">
        <v>-1020</v>
      </c>
      <c r="K8" s="13">
        <v>0</v>
      </c>
      <c r="L8" s="13">
        <v>0</v>
      </c>
      <c r="M8" s="13">
        <v>0</v>
      </c>
      <c r="N8" s="13"/>
      <c r="O8" s="13">
        <v>-1020</v>
      </c>
    </row>
    <row r="9" spans="1:15" x14ac:dyDescent="0.25">
      <c r="A9" t="s">
        <v>53</v>
      </c>
      <c r="C9" s="13">
        <v>845.5</v>
      </c>
      <c r="D9" s="13">
        <v>2464.5</v>
      </c>
      <c r="E9" s="13">
        <v>755.61000000000013</v>
      </c>
      <c r="F9" s="13">
        <v>726.84000000000015</v>
      </c>
      <c r="G9" s="13">
        <v>1290</v>
      </c>
      <c r="H9" s="13">
        <v>1170</v>
      </c>
      <c r="I9" s="13">
        <v>2915</v>
      </c>
      <c r="J9" s="13">
        <v>390.5</v>
      </c>
      <c r="K9" s="13">
        <v>1751.5</v>
      </c>
      <c r="L9" s="13">
        <v>1670</v>
      </c>
      <c r="M9" s="13">
        <v>1400</v>
      </c>
      <c r="N9" s="13">
        <v>2420</v>
      </c>
      <c r="O9" s="13">
        <v>17799.449999999997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flowssummary</vt:lpstr>
      <vt:lpstr>12</vt:lpstr>
      <vt:lpstr>11</vt:lpstr>
      <vt:lpstr>9</vt:lpstr>
      <vt:lpstr>10</vt:lpstr>
      <vt:lpstr>8</vt:lpstr>
      <vt:lpstr>7</vt:lpstr>
      <vt:lpstr>6</vt:lpstr>
      <vt:lpstr>5</vt:lpstr>
      <vt:lpstr>3</vt:lpstr>
      <vt:lpstr>2</vt:lpstr>
      <vt:lpstr>1</vt:lpstr>
      <vt:lpstr>4</vt:lpstr>
      <vt:lpstr>dictionary</vt:lpstr>
      <vt:lpstr>operations</vt:lpstr>
      <vt:lpstr>summary1</vt:lpstr>
      <vt:lpstr>summary2</vt:lpstr>
      <vt:lpstr>summary3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2024-12-14T15:11:08Z</dcterms:created>
  <dcterms:modified xsi:type="dcterms:W3CDTF">2025-11-22T13:38:47Z</dcterms:modified>
</cp:coreProperties>
</file>